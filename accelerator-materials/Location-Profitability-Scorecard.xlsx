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ck Start" sheetId="1" state="visible" r:id="rId3"/>
    <sheet name="Dashboard" sheetId="2" state="visible" r:id="rId4"/>
    <sheet name="Location 1 Assessment" sheetId="3" state="visible" r:id="rId5"/>
    <sheet name="Location 2 Assessment" sheetId="4" state="visible" r:id="rId6"/>
    <sheet name="Location 3 Assessment" sheetId="5" state="visible" r:id="rId7"/>
    <sheet name="Scoring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<sst xmlns="http://schemas.openxmlformats.org/spreadsheetml/2006/main" count="313" uniqueCount="140">
  <si>
    <t xml:space="preserve">ROAST LAUNCH</t>
  </si>
  <si>
    <t xml:space="preserve">Location Profitability Scorecard</t>
  </si>
  <si>
    <t xml:space="preserve">How to Use This Tool in 30 Minutes</t>
  </si>
  <si>
    <t xml:space="preserve">Step 1: Enter Your Top 3 Locations</t>
  </si>
  <si>
    <t xml:space="preserve">Go to the 'Dashboard' sheet and enter the names of up to 3 locations you're considering. Then, open each location's assessment sheet (Location 1 Assessment, Location 2 Assessment, Location 3 Assessment).</t>
  </si>
  <si>
    <t xml:space="preserve">Step 2: Score Each Location on Key Criteria</t>
  </si>
  <si>
    <t xml:space="preserve">For each location, evaluate the 6 scoring categories:
• Foot Traffic &amp; Visibility (25 points) - foot traffic, visibility, signage, anchor proximity
• Demographics &amp; Market (20 points) - population, income, age, education, growth
• Competition Analysis (15 points) - competitor count, distance, differentiation
• Rent &amp; Financials (20 points) - rent, costs, ratios, lease terms
• Accessibility &amp; Parking (10 points) - parking, transit, bike-friendly, ADA
• Space &amp; Layout (10 points) - sqft, kitchen, seating, outdoor space, storage
Score each criterion from 1-10 (1=weak, 10=strong). Add notes to explain your scoring.</t>
  </si>
  <si>
    <t xml:space="preserve">Step 3: Compare Results on Dashboard</t>
  </si>
  <si>
    <t xml:space="preserve">Return to the 'Dashboard' sheet. You'll see side-by-side scores for all 3 locations with category breakdowns and a clear recommendation.</t>
  </si>
  <si>
    <t xml:space="preserve">Tips for Success</t>
  </si>
  <si>
    <t xml:space="preserve">• Visit each location at different times (morning, lunch, evening) to assess foot traffic
• Use Google Maps to research demographics, nearby competitors, and transit access
• Be honest with your scoring - this tool is only as good as your data
• Refer to the 'Scoring Guide' sheet if you're unsure about any criterion
• All scores are weighted - Foot Traffic and Financials have the most impact on final score</t>
  </si>
  <si>
    <t xml:space="preserve">ROAST LAUNCH - Scorecard Dashboard</t>
  </si>
  <si>
    <t xml:space="preserve">Enter location names below, then complete each location's assessment sheet.</t>
  </si>
  <si>
    <t xml:space="preserve">Location Name</t>
  </si>
  <si>
    <t xml:space="preserve">OVERALL SCORES</t>
  </si>
  <si>
    <t xml:space="preserve">Metric</t>
  </si>
  <si>
    <t xml:space="preserve">Location 1</t>
  </si>
  <si>
    <t xml:space="preserve">Location 2</t>
  </si>
  <si>
    <t xml:space="preserve">Location 3</t>
  </si>
  <si>
    <t xml:space="preserve">Final Score (out of 10)</t>
  </si>
  <si>
    <t xml:space="preserve">Foot Traffic &amp; Visibility (25%)</t>
  </si>
  <si>
    <t xml:space="preserve">Demographics &amp; Market (20%)</t>
  </si>
  <si>
    <t xml:space="preserve">Competition Analysis (15%)</t>
  </si>
  <si>
    <t xml:space="preserve">Rent &amp; Financials (20%)</t>
  </si>
  <si>
    <t xml:space="preserve">Accessibility &amp; Parking (10%)</t>
  </si>
  <si>
    <t xml:space="preserve">Space &amp; Layout (10%)</t>
  </si>
  <si>
    <t xml:space="preserve">RECOMMENDATION</t>
  </si>
  <si>
    <t xml:space="preserve">Score 7-10: STRONG - Excellent market fit. Recommend pursuing this location.
Score 4-6: FAIR - Viable option with some concerns. Review specific category scores to understand weaknesses.
Score 1-3: WEAK - Significant concerns. Recommend reconsidering this location.</t>
  </si>
  <si>
    <t xml:space="preserve">ROAST LAUNCH - Location 1 Assessment</t>
  </si>
  <si>
    <t xml:space="preserve">Enter location name:</t>
  </si>
  <si>
    <t xml:space="preserve">Downtown Main Street</t>
  </si>
  <si>
    <t xml:space="preserve">1. FOOT TRAFFIC &amp; VISIBILITY (25% of score)</t>
  </si>
  <si>
    <t xml:space="preserve">Criterion</t>
  </si>
  <si>
    <t xml:space="preserve">Score (1-10)</t>
  </si>
  <si>
    <t xml:space="preserve">Notes</t>
  </si>
  <si>
    <t xml:space="preserve">Daily pedestrian count (estimate)</t>
  </si>
  <si>
    <t xml:space="preserve">~800 pedestrians daily, strong lunch crowd</t>
  </si>
  <si>
    <t xml:space="preserve">Vehicle traffic/road visibility</t>
  </si>
  <si>
    <t xml:space="preserve">High volume on main street, near shopping center</t>
  </si>
  <si>
    <t xml:space="preserve">Storefront visibility from street</t>
  </si>
  <si>
    <t xml:space="preserve">Corner storefront, high visibility</t>
  </si>
  <si>
    <t xml:space="preserve">Signage opportunities/visibility</t>
  </si>
  <si>
    <t xml:space="preserve">Large windows, excellent signage potential</t>
  </si>
  <si>
    <t xml:space="preserve">Proximity to anchor tenants/generators</t>
  </si>
  <si>
    <t xml:space="preserve">Adjacent to shopping mall and office complex</t>
  </si>
  <si>
    <t xml:space="preserve">CATEGORY AVERAGE (25%)</t>
  </si>
  <si>
    <t xml:space="preserve">2. DEMOGRAPHICS &amp; MARKET (20% of score)</t>
  </si>
  <si>
    <t xml:space="preserve">Population density within 1 mile</t>
  </si>
  <si>
    <t xml:space="preserve">High density urban area, 15,000+ people per sq mi</t>
  </si>
  <si>
    <t xml:space="preserve">Median household income level</t>
  </si>
  <si>
    <t xml:space="preserve">$85,000+ median household income</t>
  </si>
  <si>
    <t xml:space="preserve">Age distribution (target: 25-45)</t>
  </si>
  <si>
    <t xml:space="preserve">Strong 25-45 age demographic, professionals</t>
  </si>
  <si>
    <t xml:space="preserve">Education level/affluence</t>
  </si>
  <si>
    <t xml:space="preserve">College educated population, affluent</t>
  </si>
  <si>
    <t xml:space="preserve">Population growth trends</t>
  </si>
  <si>
    <t xml:space="preserve">Downtown area growing, new development coming</t>
  </si>
  <si>
    <t xml:space="preserve">CATEGORY AVERAGE (20%)</t>
  </si>
  <si>
    <t xml:space="preserve">3. COMPETITION ANALYSIS (15% of score)</t>
  </si>
  <si>
    <t xml:space="preserve">Number of specialty coffee shops within 1 mile</t>
  </si>
  <si>
    <t xml:space="preserve">Only 1 specialty coffee shop within 1 mile</t>
  </si>
  <si>
    <t xml:space="preserve">Distance to nearest competitor</t>
  </si>
  <si>
    <t xml:space="preserve">Nearest competitor ~0.4 miles away</t>
  </si>
  <si>
    <t xml:space="preserve">Competitor quality/positioning</t>
  </si>
  <si>
    <t xml:space="preserve">Competitor is mid-market, opportunity for premium positioning</t>
  </si>
  <si>
    <t xml:space="preserve">Market saturation assessment</t>
  </si>
  <si>
    <t xml:space="preserve">Good market size but not saturated</t>
  </si>
  <si>
    <t xml:space="preserve">Differentiation opportunity</t>
  </si>
  <si>
    <t xml:space="preserve">Can differentiate with quality and unique offerings</t>
  </si>
  <si>
    <t xml:space="preserve">CATEGORY AVERAGE (15%)</t>
  </si>
  <si>
    <t xml:space="preserve">4. RENT &amp; FINANCIALS (20% of score)</t>
  </si>
  <si>
    <t xml:space="preserve">Monthly rent per sq ft</t>
  </si>
  <si>
    <t xml:space="preserve">$18/sqft/year, reasonable for downtown</t>
  </si>
  <si>
    <t xml:space="preserve">Total monthly rent affordability</t>
  </si>
  <si>
    <t xml:space="preserve">$3,600/month for 2,400 sqft</t>
  </si>
  <si>
    <t xml:space="preserve">Rent-to-revenue ratio estimate</t>
  </si>
  <si>
    <t xml:space="preserve">Estimated $40k/month revenue, rent = 9% of revenue</t>
  </si>
  <si>
    <t xml:space="preserve">Build-out/improvement costs</t>
  </si>
  <si>
    <t xml:space="preserve">$60k build-out estimated, manageable</t>
  </si>
  <si>
    <t xml:space="preserve">Lease terms favorability</t>
  </si>
  <si>
    <t xml:space="preserve">5-year lease, 3% annual escalation, favorable terms</t>
  </si>
  <si>
    <t xml:space="preserve">5. ACCESSIBILITY &amp; PARKING (10% of score)</t>
  </si>
  <si>
    <t xml:space="preserve">Street parking availability</t>
  </si>
  <si>
    <t xml:space="preserve">Street parking available, 2-hour limit peak hours</t>
  </si>
  <si>
    <t xml:space="preserve">Lot/garage parking proximity</t>
  </si>
  <si>
    <t xml:space="preserve">Public lot nearby with 300+ spaces</t>
  </si>
  <si>
    <t xml:space="preserve">Public transit access</t>
  </si>
  <si>
    <t xml:space="preserve">Bus transit hub 2 blocks away, multiple lines</t>
  </si>
  <si>
    <t xml:space="preserve">Bike-friendly infrastructure</t>
  </si>
  <si>
    <t xml:space="preserve">Bike lanes on main street, bike parking available</t>
  </si>
  <si>
    <t xml:space="preserve">ADA compliance/accessibility</t>
  </si>
  <si>
    <t xml:space="preserve">Wheelchair accessible entrance, ADA compliant</t>
  </si>
  <si>
    <t xml:space="preserve">CATEGORY AVERAGE (10%)</t>
  </si>
  <si>
    <t xml:space="preserve">6. SPACE &amp; LAYOUT (10% of score)</t>
  </si>
  <si>
    <t xml:space="preserve">Total square footage</t>
  </si>
  <si>
    <t xml:space="preserve">2,400 sqft, good size for roastery + cafe</t>
  </si>
  <si>
    <t xml:space="preserve">Kitchen/prep area adequacy</t>
  </si>
  <si>
    <t xml:space="preserve">500 sqft dedicated prep area, 3-zone kitchen layout</t>
  </si>
  <si>
    <t xml:space="preserve">Seating capacity potential</t>
  </si>
  <si>
    <t xml:space="preserve">40 seats inside, good flow for queue management</t>
  </si>
  <si>
    <t xml:space="preserve">Outdoor space potential</t>
  </si>
  <si>
    <t xml:space="preserve">100 sqft patio potential with licensing, street view</t>
  </si>
  <si>
    <t xml:space="preserve">Storage/inventory adequacy</t>
  </si>
  <si>
    <t xml:space="preserve">1,200 sqft storage, climate controlled back area</t>
  </si>
  <si>
    <t xml:space="preserve">FINAL WEIGHTED SCORE</t>
  </si>
  <si>
    <t xml:space="preserve">Your Overall Score (out of 10):</t>
  </si>
  <si>
    <t xml:space="preserve">ROAST LAUNCH - Location 2 Assessment</t>
  </si>
  <si>
    <t xml:space="preserve">ROAST LAUNCH - Location 3 Assessment</t>
  </si>
  <si>
    <t xml:space="preserve">ROAST LAUNCH - Scoring Guide</t>
  </si>
  <si>
    <t xml:space="preserve">Use this guide to score each criterion on a scale of 1-10. Higher scores indicate stronger fit for a successful location.</t>
  </si>
  <si>
    <t xml:space="preserve">FOOT TRAFFIC &amp; VISIBILITY</t>
  </si>
  <si>
    <t xml:space="preserve">Score 1</t>
  </si>
  <si>
    <t xml:space="preserve">Weak</t>
  </si>
  <si>
    <t xml:space="preserve">Very low foot traffic (&lt;100/day); poor visibility; no peak hours; limited nearby generators</t>
  </si>
  <si>
    <t xml:space="preserve">Score 4</t>
  </si>
  <si>
    <t xml:space="preserve">Fair</t>
  </si>
  <si>
    <t xml:space="preserve">Moderate foot traffic (100-300/day); adequate visibility; some peak hours; few traffic generators</t>
  </si>
  <si>
    <t xml:space="preserve">Score 7</t>
  </si>
  <si>
    <t xml:space="preserve">Strong</t>
  </si>
  <si>
    <t xml:space="preserve">High foot traffic (300+/day); excellent visibility; clear peak hours; multiple traffic generators (transit, shopping, offices)</t>
  </si>
  <si>
    <t xml:space="preserve">DEMOGRAPHICS &amp; MARKET</t>
  </si>
  <si>
    <t xml:space="preserve">Poor market fit; low income; mismatched age groups; weak coffee culture</t>
  </si>
  <si>
    <t xml:space="preserve">Partial fit; moderate income; some target age groups (25-45); growing interest in specialty coffee</t>
  </si>
  <si>
    <t xml:space="preserve">Excellent fit; high income; strong target age groups; affluent/educated population; established coffee culture</t>
  </si>
  <si>
    <t xml:space="preserve">COMPETITION ANALYSIS</t>
  </si>
  <si>
    <t xml:space="preserve">Multiple specialty coffee shops within 1 mile; very limited differentiation; saturated market</t>
  </si>
  <si>
    <t xml:space="preserve">2-3 competitors within 1 mile; some differentiation possible; moderate competition</t>
  </si>
  <si>
    <t xml:space="preserve">0-1 competitors within 1 mile; strong differentiation opportunity; underserved market</t>
  </si>
  <si>
    <t xml:space="preserve">RENT &amp; FINANCIALS</t>
  </si>
  <si>
    <t xml:space="preserve">Rent &gt;20% of estimated revenue; high build-out costs; unfavorable lease terms</t>
  </si>
  <si>
    <t xml:space="preserve">Rent 10-15% of revenue; moderate build-out costs; standard lease terms</t>
  </si>
  <si>
    <t xml:space="preserve">Rent &lt;10% of revenue; low build-out costs; favorable lease terms; strong financials</t>
  </si>
  <si>
    <t xml:space="preserve">ACCESSIBILITY &amp; PARKING</t>
  </si>
  <si>
    <t xml:space="preserve">Poor parking; no transit access; limited accessibility; ADA concerns</t>
  </si>
  <si>
    <t xml:space="preserve">Adequate parking; basic transit; acceptable accessibility</t>
  </si>
  <si>
    <t xml:space="preserve">Ample parking; excellent transit; fully ADA compliant; bike-friendly</t>
  </si>
  <si>
    <t xml:space="preserve">SPACE &amp; LAYOUT</t>
  </si>
  <si>
    <t xml:space="preserve">Too small or poorly configured; inadequate kitchen; limited seating; no storage</t>
  </si>
  <si>
    <t xml:space="preserve">Adequate size; acceptable kitchen; reasonable seating capacity; basic storage</t>
  </si>
  <si>
    <t xml:space="preserve">Ideal size; well-designed kitchen; good seating; ample storage; outdoor potential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</si>
</sst>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4612A"/>
      <name val="Arial"/>
      <family val="0"/>
      <charset val="1"/>
    </font>
    <font>
      <b val="true"/>
      <sz val="14"/>
      <color rgb="FF1C1209"/>
      <name val="Arial"/>
      <family val="0"/>
      <charset val="1"/>
    </font>
    <font>
      <b val="true"/>
      <sz val="12"/>
      <color rgb="FF1C1209"/>
      <name val="Arial"/>
      <family val="0"/>
      <charset val="1"/>
    </font>
    <font>
      <b val="true"/>
      <sz val="11"/>
      <color rgb="FFC4612A"/>
      <name val="Arial"/>
      <family val="0"/>
      <charset val="1"/>
    </font>
    <font>
      <b val="true"/>
      <sz val="11"/>
      <color rgb="FF1C1209"/>
      <name val="Arial"/>
      <family val="0"/>
      <charset val="1"/>
    </font>
    <font>
      <sz val="11"/>
      <color rgb="FF1C120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120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E0"/>
        <bgColor rgb="FFFFFFFF"/>
      </patternFill>
    </fill>
    <fill>
      <patternFill patternType="solid">
        <fgColor rgb="FFC4612A"/>
        <bgColor rgb="FF993300"/>
      </patternFill>
    </fill>
    <fill>
      <patternFill patternType="solid">
        <fgColor rgb="FF5C7A4E"/>
        <bgColor rgb="FF666699"/>
      </patternFill>
    </fill>
    <fill>
      <patternFill patternType="solid">
        <fgColor rgb="FFF0E6D8"/>
        <bgColor rgb="FFFFFF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C7A4E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6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4612A"/>
      <rgbColor rgb="FF666699"/>
      <rgbColor rgb="FF969696"/>
      <rgbColor rgb="FF003366"/>
      <rgbColor rgb="FF339966"/>
      <rgbColor rgb="FF003300"/>
      <rgbColor rgb="FF1C120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40"/>
  </cols>
  <sheetData>
    <row r="1" customFormat="false" ht="22.05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6" customFormat="false" ht="15" hidden="false" customHeight="false" outlineLevel="0" collapsed="false">
      <c r="A6" s="5" t="s">
        <v>3</v>
      </c>
    </row>
    <row r="7" customFormat="false" ht="35.05" hidden="false" customHeight="false" outlineLevel="0" collapsed="false">
      <c r="A7" s="6" t="s">
        <v>4</v>
      </c>
    </row>
    <row r="9" customFormat="false" ht="15" hidden="false" customHeight="false" outlineLevel="0" collapsed="false">
      <c r="A9" s="5" t="s">
        <v>5</v>
      </c>
    </row>
    <row r="10" customFormat="false" ht="147" hidden="false" customHeight="false" outlineLevel="0" collapsed="false">
      <c r="A10" s="6" t="s">
        <v>6</v>
      </c>
    </row>
    <row r="23" customFormat="false" ht="15" hidden="false" customHeight="false" outlineLevel="0" collapsed="false">
      <c r="A23" s="5" t="s">
        <v>7</v>
      </c>
    </row>
    <row r="24" customFormat="false" ht="23.85" hidden="false" customHeight="false" outlineLevel="0" collapsed="false">
      <c r="A24" s="6" t="s">
        <v>8</v>
      </c>
    </row>
    <row r="26" customFormat="false" ht="15" hidden="false" customHeight="false" outlineLevel="0" collapsed="false">
      <c r="A26" s="7" t="s">
        <v>9</v>
      </c>
    </row>
    <row r="27" customFormat="false" ht="91" hidden="false" customHeight="false" outlineLevel="0" collapsed="false">
      <c r="A27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8"/>
  </cols>
  <sheetData>
    <row r="1" customFormat="false" ht="17.35" hidden="false" customHeight="false" outlineLevel="0" collapsed="false">
      <c r="A1" s="8" t="s">
        <v>11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12</v>
      </c>
      <c r="B3" s="9"/>
      <c r="C3" s="9"/>
      <c r="D3" s="9"/>
      <c r="E3" s="9"/>
      <c r="F3" s="9"/>
    </row>
    <row r="5" customFormat="false" ht="15" hidden="false" customHeight="false" outlineLevel="0" collapsed="false">
      <c r="A5" s="1" t="s">
        <v>13</v>
      </c>
      <c r="B5" s="10"/>
      <c r="C5" s="10"/>
      <c r="D5" s="10"/>
    </row>
    <row r="7" customFormat="false" ht="15" hidden="false" customHeight="false" outlineLevel="0" collapsed="false">
      <c r="A7" s="11" t="s">
        <v>14</v>
      </c>
      <c r="B7" s="11"/>
      <c r="C7" s="11"/>
      <c r="D7" s="11"/>
    </row>
    <row r="8" customFormat="false" ht="15" hidden="false" customHeight="false" outlineLevel="0" collapsed="false">
      <c r="A8" s="12" t="s">
        <v>15</v>
      </c>
      <c r="B8" s="13" t="s">
        <v>16</v>
      </c>
      <c r="C8" s="13" t="s">
        <v>17</v>
      </c>
      <c r="D8" s="13" t="s">
        <v>18</v>
      </c>
    </row>
    <row r="9" customFormat="false" ht="15" hidden="false" customHeight="false" outlineLevel="0" collapsed="false">
      <c r="A9" s="14" t="s">
        <v>19</v>
      </c>
      <c r="B9" s="15" t="n">
        <f aca="false">'Location 1 Assessment'!B59</f>
        <v>7.9</v>
      </c>
      <c r="C9" s="16" t="str">
        <f aca="false">'Location 2 Assessment'!B59</f>
        <v/>
      </c>
      <c r="D9" s="16" t="str">
        <f aca="false">'Location 3 Assessment'!B59</f>
        <v/>
      </c>
    </row>
    <row r="10" customFormat="false" ht="15" hidden="false" customHeight="false" outlineLevel="0" collapsed="false">
      <c r="A10" s="17" t="s">
        <v>20</v>
      </c>
      <c r="B10" s="18" t="n">
        <f aca="false">'Location 1 Assessment'!B11</f>
        <v>8.2</v>
      </c>
      <c r="C10" s="18" t="str">
        <f aca="false">'Location 2 Assessment'!B11</f>
        <v/>
      </c>
      <c r="D10" s="18" t="str">
        <f aca="false">'Location 3 Assessment'!B11</f>
        <v/>
      </c>
    </row>
    <row r="11" customFormat="false" ht="15" hidden="false" customHeight="false" outlineLevel="0" collapsed="false">
      <c r="A11" s="17" t="s">
        <v>21</v>
      </c>
      <c r="B11" s="18" t="n">
        <f aca="false">'Location 1 Assessment'!B20</f>
        <v>8</v>
      </c>
      <c r="C11" s="18" t="str">
        <f aca="false">'Location 2 Assessment'!B20</f>
        <v/>
      </c>
      <c r="D11" s="18" t="str">
        <f aca="false">'Location 3 Assessment'!B20</f>
        <v/>
      </c>
    </row>
    <row r="12" customFormat="false" ht="15" hidden="false" customHeight="false" outlineLevel="0" collapsed="false">
      <c r="A12" s="17" t="s">
        <v>22</v>
      </c>
      <c r="B12" s="18" t="n">
        <f aca="false">'Location 1 Assessment'!B29</f>
        <v>7.6</v>
      </c>
      <c r="C12" s="18" t="str">
        <f aca="false">'Location 2 Assessment'!B29</f>
        <v/>
      </c>
      <c r="D12" s="18" t="str">
        <f aca="false">'Location 3 Assessment'!B29</f>
        <v/>
      </c>
    </row>
    <row r="13" customFormat="false" ht="15" hidden="false" customHeight="false" outlineLevel="0" collapsed="false">
      <c r="A13" s="17" t="s">
        <v>23</v>
      </c>
      <c r="B13" s="18" t="n">
        <f aca="false">'Location 1 Assessment'!B38</f>
        <v>7.8</v>
      </c>
      <c r="C13" s="18" t="str">
        <f aca="false">'Location 2 Assessment'!B38</f>
        <v/>
      </c>
      <c r="D13" s="18" t="str">
        <f aca="false">'Location 3 Assessment'!B38</f>
        <v/>
      </c>
    </row>
    <row r="14" customFormat="false" ht="15" hidden="false" customHeight="false" outlineLevel="0" collapsed="false">
      <c r="A14" s="17" t="s">
        <v>24</v>
      </c>
      <c r="B14" s="18" t="n">
        <f aca="false">'Location 1 Assessment'!B47</f>
        <v>8.2</v>
      </c>
      <c r="C14" s="18" t="str">
        <f aca="false">'Location 2 Assessment'!B47</f>
        <v/>
      </c>
      <c r="D14" s="18" t="str">
        <f aca="false">'Location 3 Assessment'!B47</f>
        <v/>
      </c>
    </row>
    <row r="15" customFormat="false" ht="15" hidden="false" customHeight="false" outlineLevel="0" collapsed="false">
      <c r="A15" s="17" t="s">
        <v>25</v>
      </c>
      <c r="B15" s="18" t="n">
        <f aca="false">'Location 1 Assessment'!B56</f>
        <v>7.6</v>
      </c>
      <c r="C15" s="18" t="str">
        <f aca="false">'Location 2 Assessment'!B56</f>
        <v/>
      </c>
      <c r="D15" s="18" t="str">
        <f aca="false">'Location 3 Assessment'!B56</f>
        <v/>
      </c>
    </row>
    <row r="16" customFormat="false" ht="15" hidden="false" customHeight="false" outlineLevel="0" collapsed="false">
      <c r="A16" s="11" t="s">
        <v>26</v>
      </c>
      <c r="B16" s="11"/>
      <c r="C16" s="11"/>
      <c r="D16" s="11"/>
    </row>
    <row r="17" customFormat="false" ht="68.65" hidden="false" customHeight="true" outlineLevel="0" collapsed="false">
      <c r="A17" s="19" t="s">
        <v>27</v>
      </c>
      <c r="B17" s="19"/>
      <c r="C17" s="19"/>
      <c r="D17" s="19"/>
    </row>
  </sheetData>
  <mergeCells count="5">
    <mergeCell ref="A1:F1"/>
    <mergeCell ref="A3:F3"/>
    <mergeCell ref="A7:D7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2"/>
    <col collapsed="false" customWidth="true" hidden="false" outlineLevel="0" max="4" min="4" style="1" width="35"/>
  </cols>
  <sheetData>
    <row r="1" customFormat="false" ht="17.35" hidden="false" customHeight="false" outlineLevel="0" collapsed="false">
      <c r="A1" s="8" t="s">
        <v>28</v>
      </c>
      <c r="B1" s="8"/>
      <c r="C1" s="8"/>
      <c r="D1" s="8"/>
    </row>
    <row r="2" customFormat="false" ht="15" hidden="false" customHeight="false" outlineLevel="0" collapsed="false">
      <c r="A2" s="1" t="s">
        <v>29</v>
      </c>
      <c r="B2" s="20" t="s">
        <v>30</v>
      </c>
    </row>
    <row r="4" customFormat="false" ht="15" hidden="false" customHeight="false" outlineLevel="0" collapsed="false">
      <c r="A4" s="11" t="s">
        <v>31</v>
      </c>
      <c r="B4" s="11"/>
      <c r="C4" s="11"/>
      <c r="D4" s="11"/>
    </row>
    <row r="5" customFormat="false" ht="15" hidden="false" customHeight="false" outlineLevel="0" collapsed="false">
      <c r="A5" s="21" t="s">
        <v>32</v>
      </c>
      <c r="B5" s="21" t="s">
        <v>33</v>
      </c>
      <c r="C5" s="21" t="s">
        <v>34</v>
      </c>
    </row>
    <row r="6" customFormat="false" ht="15" hidden="false" customHeight="false" outlineLevel="0" collapsed="false">
      <c r="A6" s="22" t="s">
        <v>35</v>
      </c>
      <c r="B6" s="23" t="n">
        <v>9</v>
      </c>
      <c r="C6" s="22" t="s">
        <v>36</v>
      </c>
    </row>
    <row r="7" customFormat="false" ht="15" hidden="false" customHeight="false" outlineLevel="0" collapsed="false">
      <c r="A7" s="22" t="s">
        <v>37</v>
      </c>
      <c r="B7" s="23" t="n">
        <v>8</v>
      </c>
      <c r="C7" s="22" t="s">
        <v>38</v>
      </c>
    </row>
    <row r="8" customFormat="false" ht="15" hidden="false" customHeight="false" outlineLevel="0" collapsed="false">
      <c r="A8" s="22" t="s">
        <v>39</v>
      </c>
      <c r="B8" s="23" t="n">
        <v>8</v>
      </c>
      <c r="C8" s="22" t="s">
        <v>40</v>
      </c>
    </row>
    <row r="9" customFormat="false" ht="15" hidden="false" customHeight="false" outlineLevel="0" collapsed="false">
      <c r="A9" s="22" t="s">
        <v>41</v>
      </c>
      <c r="B9" s="23" t="n">
        <v>9</v>
      </c>
      <c r="C9" s="22" t="s">
        <v>42</v>
      </c>
    </row>
    <row r="10" customFormat="false" ht="15" hidden="false" customHeight="false" outlineLevel="0" collapsed="false">
      <c r="A10" s="22" t="s">
        <v>43</v>
      </c>
      <c r="B10" s="23" t="n">
        <v>7</v>
      </c>
      <c r="C10" s="22" t="s">
        <v>44</v>
      </c>
    </row>
    <row r="11" customFormat="false" ht="15" hidden="false" customHeight="false" outlineLevel="0" collapsed="false">
      <c r="A11" s="24" t="s">
        <v>45</v>
      </c>
      <c r="B11" s="25" t="n">
        <f aca="false">IFERROR(AVERAGE(B6:B10),"")</f>
        <v>8.2</v>
      </c>
    </row>
    <row r="13" customFormat="false" ht="15" hidden="false" customHeight="false" outlineLevel="0" collapsed="false">
      <c r="A13" s="11" t="s">
        <v>46</v>
      </c>
      <c r="B13" s="11"/>
      <c r="C13" s="11"/>
      <c r="D13" s="11"/>
    </row>
    <row r="14" customFormat="false" ht="15" hidden="false" customHeight="false" outlineLevel="0" collapsed="false">
      <c r="A14" s="21" t="s">
        <v>32</v>
      </c>
      <c r="B14" s="21" t="s">
        <v>33</v>
      </c>
      <c r="C14" s="21" t="s">
        <v>34</v>
      </c>
    </row>
    <row r="15" customFormat="false" ht="15" hidden="false" customHeight="false" outlineLevel="0" collapsed="false">
      <c r="A15" s="22" t="s">
        <v>47</v>
      </c>
      <c r="B15" s="23" t="n">
        <v>8</v>
      </c>
      <c r="C15" s="22" t="s">
        <v>48</v>
      </c>
    </row>
    <row r="16" customFormat="false" ht="15" hidden="false" customHeight="false" outlineLevel="0" collapsed="false">
      <c r="A16" s="22" t="s">
        <v>49</v>
      </c>
      <c r="B16" s="23" t="n">
        <v>8</v>
      </c>
      <c r="C16" s="22" t="s">
        <v>50</v>
      </c>
    </row>
    <row r="17" customFormat="false" ht="15" hidden="false" customHeight="false" outlineLevel="0" collapsed="false">
      <c r="A17" s="22" t="s">
        <v>51</v>
      </c>
      <c r="B17" s="23" t="n">
        <v>9</v>
      </c>
      <c r="C17" s="22" t="s">
        <v>52</v>
      </c>
    </row>
    <row r="18" customFormat="false" ht="15" hidden="false" customHeight="false" outlineLevel="0" collapsed="false">
      <c r="A18" s="22" t="s">
        <v>53</v>
      </c>
      <c r="B18" s="23" t="n">
        <v>8</v>
      </c>
      <c r="C18" s="22" t="s">
        <v>54</v>
      </c>
    </row>
    <row r="19" customFormat="false" ht="15" hidden="false" customHeight="false" outlineLevel="0" collapsed="false">
      <c r="A19" s="22" t="s">
        <v>55</v>
      </c>
      <c r="B19" s="23" t="n">
        <v>7</v>
      </c>
      <c r="C19" s="22" t="s">
        <v>56</v>
      </c>
    </row>
    <row r="20" customFormat="false" ht="15" hidden="false" customHeight="false" outlineLevel="0" collapsed="false">
      <c r="A20" s="24" t="s">
        <v>57</v>
      </c>
      <c r="B20" s="25" t="n">
        <f aca="false">IFERROR(AVERAGE(B15:B19),"")</f>
        <v>8</v>
      </c>
    </row>
    <row r="22" customFormat="false" ht="15" hidden="false" customHeight="false" outlineLevel="0" collapsed="false">
      <c r="A22" s="11" t="s">
        <v>58</v>
      </c>
      <c r="B22" s="11"/>
      <c r="C22" s="11"/>
      <c r="D22" s="11"/>
    </row>
    <row r="23" customFormat="false" ht="15" hidden="false" customHeight="false" outlineLevel="0" collapsed="false">
      <c r="A23" s="21" t="s">
        <v>32</v>
      </c>
      <c r="B23" s="21" t="s">
        <v>33</v>
      </c>
      <c r="C23" s="21" t="s">
        <v>34</v>
      </c>
    </row>
    <row r="24" customFormat="false" ht="15" hidden="false" customHeight="false" outlineLevel="0" collapsed="false">
      <c r="A24" s="22" t="s">
        <v>59</v>
      </c>
      <c r="B24" s="23" t="n">
        <v>8</v>
      </c>
      <c r="C24" s="22" t="s">
        <v>60</v>
      </c>
    </row>
    <row r="25" customFormat="false" ht="15" hidden="false" customHeight="false" outlineLevel="0" collapsed="false">
      <c r="A25" s="22" t="s">
        <v>61</v>
      </c>
      <c r="B25" s="23" t="n">
        <v>8</v>
      </c>
      <c r="C25" s="22" t="s">
        <v>62</v>
      </c>
    </row>
    <row r="26" customFormat="false" ht="15" hidden="false" customHeight="false" outlineLevel="0" collapsed="false">
      <c r="A26" s="22" t="s">
        <v>63</v>
      </c>
      <c r="B26" s="23" t="n">
        <v>7</v>
      </c>
      <c r="C26" s="22" t="s">
        <v>64</v>
      </c>
    </row>
    <row r="27" customFormat="false" ht="15" hidden="false" customHeight="false" outlineLevel="0" collapsed="false">
      <c r="A27" s="22" t="s">
        <v>65</v>
      </c>
      <c r="B27" s="23" t="n">
        <v>7</v>
      </c>
      <c r="C27" s="22" t="s">
        <v>66</v>
      </c>
    </row>
    <row r="28" customFormat="false" ht="15" hidden="false" customHeight="false" outlineLevel="0" collapsed="false">
      <c r="A28" s="22" t="s">
        <v>67</v>
      </c>
      <c r="B28" s="23" t="n">
        <v>8</v>
      </c>
      <c r="C28" s="22" t="s">
        <v>68</v>
      </c>
    </row>
    <row r="29" customFormat="false" ht="15" hidden="false" customHeight="false" outlineLevel="0" collapsed="false">
      <c r="A29" s="24" t="s">
        <v>69</v>
      </c>
      <c r="B29" s="25" t="n">
        <f aca="false">IFERROR(AVERAGE(B24:B28),"")</f>
        <v>7.6</v>
      </c>
    </row>
    <row r="31" customFormat="false" ht="15" hidden="false" customHeight="false" outlineLevel="0" collapsed="false">
      <c r="A31" s="11" t="s">
        <v>70</v>
      </c>
      <c r="B31" s="11"/>
      <c r="C31" s="11"/>
      <c r="D31" s="11"/>
    </row>
    <row r="32" customFormat="false" ht="15" hidden="false" customHeight="false" outlineLevel="0" collapsed="false">
      <c r="A32" s="21" t="s">
        <v>32</v>
      </c>
      <c r="B32" s="21" t="s">
        <v>33</v>
      </c>
      <c r="C32" s="21" t="s">
        <v>34</v>
      </c>
    </row>
    <row r="33" customFormat="false" ht="15" hidden="false" customHeight="false" outlineLevel="0" collapsed="false">
      <c r="A33" s="22" t="s">
        <v>71</v>
      </c>
      <c r="B33" s="23" t="n">
        <v>8</v>
      </c>
      <c r="C33" s="22" t="s">
        <v>72</v>
      </c>
    </row>
    <row r="34" customFormat="false" ht="15" hidden="false" customHeight="false" outlineLevel="0" collapsed="false">
      <c r="A34" s="22" t="s">
        <v>73</v>
      </c>
      <c r="B34" s="23" t="n">
        <v>8</v>
      </c>
      <c r="C34" s="22" t="s">
        <v>74</v>
      </c>
    </row>
    <row r="35" customFormat="false" ht="15" hidden="false" customHeight="false" outlineLevel="0" collapsed="false">
      <c r="A35" s="22" t="s">
        <v>75</v>
      </c>
      <c r="B35" s="23" t="n">
        <v>8</v>
      </c>
      <c r="C35" s="22" t="s">
        <v>76</v>
      </c>
    </row>
    <row r="36" customFormat="false" ht="15" hidden="false" customHeight="false" outlineLevel="0" collapsed="false">
      <c r="A36" s="22" t="s">
        <v>77</v>
      </c>
      <c r="B36" s="23" t="n">
        <v>7</v>
      </c>
      <c r="C36" s="22" t="s">
        <v>78</v>
      </c>
    </row>
    <row r="37" customFormat="false" ht="15" hidden="false" customHeight="false" outlineLevel="0" collapsed="false">
      <c r="A37" s="22" t="s">
        <v>79</v>
      </c>
      <c r="B37" s="23" t="n">
        <v>8</v>
      </c>
      <c r="C37" s="22" t="s">
        <v>80</v>
      </c>
    </row>
    <row r="38" customFormat="false" ht="15" hidden="false" customHeight="false" outlineLevel="0" collapsed="false">
      <c r="A38" s="24" t="s">
        <v>57</v>
      </c>
      <c r="B38" s="25" t="n">
        <f aca="false">IFERROR(AVERAGE(B33:B37),"")</f>
        <v>7.8</v>
      </c>
    </row>
    <row r="40" customFormat="false" ht="15" hidden="false" customHeight="false" outlineLevel="0" collapsed="false">
      <c r="A40" s="11" t="s">
        <v>81</v>
      </c>
      <c r="B40" s="11"/>
      <c r="C40" s="11"/>
      <c r="D40" s="11"/>
    </row>
    <row r="41" customFormat="false" ht="15" hidden="false" customHeight="false" outlineLevel="0" collapsed="false">
      <c r="A41" s="21" t="s">
        <v>32</v>
      </c>
      <c r="B41" s="21" t="s">
        <v>33</v>
      </c>
      <c r="C41" s="21" t="s">
        <v>34</v>
      </c>
    </row>
    <row r="42" customFormat="false" ht="15" hidden="false" customHeight="false" outlineLevel="0" collapsed="false">
      <c r="A42" s="22" t="s">
        <v>82</v>
      </c>
      <c r="B42" s="23" t="n">
        <v>7</v>
      </c>
      <c r="C42" s="22" t="s">
        <v>83</v>
      </c>
    </row>
    <row r="43" customFormat="false" ht="15" hidden="false" customHeight="false" outlineLevel="0" collapsed="false">
      <c r="A43" s="22" t="s">
        <v>84</v>
      </c>
      <c r="B43" s="23" t="n">
        <v>8</v>
      </c>
      <c r="C43" s="22" t="s">
        <v>85</v>
      </c>
    </row>
    <row r="44" customFormat="false" ht="15" hidden="false" customHeight="false" outlineLevel="0" collapsed="false">
      <c r="A44" s="22" t="s">
        <v>86</v>
      </c>
      <c r="B44" s="23" t="n">
        <v>9</v>
      </c>
      <c r="C44" s="22" t="s">
        <v>87</v>
      </c>
    </row>
    <row r="45" customFormat="false" ht="15" hidden="false" customHeight="false" outlineLevel="0" collapsed="false">
      <c r="A45" s="22" t="s">
        <v>88</v>
      </c>
      <c r="B45" s="23" t="n">
        <v>8</v>
      </c>
      <c r="C45" s="22" t="s">
        <v>89</v>
      </c>
    </row>
    <row r="46" customFormat="false" ht="15" hidden="false" customHeight="false" outlineLevel="0" collapsed="false">
      <c r="A46" s="22" t="s">
        <v>90</v>
      </c>
      <c r="B46" s="23" t="n">
        <v>9</v>
      </c>
      <c r="C46" s="22" t="s">
        <v>91</v>
      </c>
    </row>
    <row r="47" customFormat="false" ht="15" hidden="false" customHeight="false" outlineLevel="0" collapsed="false">
      <c r="A47" s="24" t="s">
        <v>92</v>
      </c>
      <c r="B47" s="25" t="n">
        <f aca="false">IFERROR(AVERAGE(B42:B46),"")</f>
        <v>8.2</v>
      </c>
    </row>
    <row r="49" customFormat="false" ht="15" hidden="false" customHeight="false" outlineLevel="0" collapsed="false">
      <c r="A49" s="11" t="s">
        <v>93</v>
      </c>
      <c r="B49" s="11"/>
      <c r="C49" s="11"/>
      <c r="D49" s="11"/>
    </row>
    <row r="50" customFormat="false" ht="15" hidden="false" customHeight="false" outlineLevel="0" collapsed="false">
      <c r="A50" s="21" t="s">
        <v>32</v>
      </c>
      <c r="B50" s="21" t="s">
        <v>33</v>
      </c>
      <c r="C50" s="21" t="s">
        <v>34</v>
      </c>
    </row>
    <row r="51" customFormat="false" ht="15" hidden="false" customHeight="false" outlineLevel="0" collapsed="false">
      <c r="A51" s="22" t="s">
        <v>94</v>
      </c>
      <c r="B51" s="23" t="n">
        <v>8</v>
      </c>
      <c r="C51" s="22" t="s">
        <v>95</v>
      </c>
    </row>
    <row r="52" customFormat="false" ht="15" hidden="false" customHeight="false" outlineLevel="0" collapsed="false">
      <c r="A52" s="22" t="s">
        <v>96</v>
      </c>
      <c r="B52" s="23" t="n">
        <v>8</v>
      </c>
      <c r="C52" s="22" t="s">
        <v>97</v>
      </c>
    </row>
    <row r="53" customFormat="false" ht="15" hidden="false" customHeight="false" outlineLevel="0" collapsed="false">
      <c r="A53" s="22" t="s">
        <v>98</v>
      </c>
      <c r="B53" s="23" t="n">
        <v>7</v>
      </c>
      <c r="C53" s="22" t="s">
        <v>99</v>
      </c>
    </row>
    <row r="54" customFormat="false" ht="15" hidden="false" customHeight="false" outlineLevel="0" collapsed="false">
      <c r="A54" s="22" t="s">
        <v>100</v>
      </c>
      <c r="B54" s="23" t="n">
        <v>8</v>
      </c>
      <c r="C54" s="22" t="s">
        <v>101</v>
      </c>
    </row>
    <row r="55" customFormat="false" ht="15" hidden="false" customHeight="false" outlineLevel="0" collapsed="false">
      <c r="A55" s="22" t="s">
        <v>102</v>
      </c>
      <c r="B55" s="23" t="n">
        <v>7</v>
      </c>
      <c r="C55" s="22" t="s">
        <v>103</v>
      </c>
    </row>
    <row r="56" customFormat="false" ht="15" hidden="false" customHeight="false" outlineLevel="0" collapsed="false">
      <c r="A56" s="24" t="s">
        <v>92</v>
      </c>
      <c r="B56" s="25" t="n">
        <f aca="false">IFERROR(AVERAGE(B51:B55),"")</f>
        <v>7.6</v>
      </c>
    </row>
    <row r="58" customFormat="false" ht="15" hidden="false" customHeight="false" outlineLevel="0" collapsed="false">
      <c r="A58" s="26" t="s">
        <v>104</v>
      </c>
      <c r="B58" s="26"/>
      <c r="C58" s="26"/>
      <c r="D58" s="26"/>
    </row>
    <row r="59" customFormat="false" ht="17.35" hidden="false" customHeight="false" outlineLevel="0" collapsed="false">
      <c r="A59" s="7" t="s">
        <v>105</v>
      </c>
      <c r="B59" s="27" t="n">
        <f aca="false">IFERROR(ROUND((B11*0.25) + (B20*0.2) + (B29*0.15) + (B38*0.2) + (B47*0.1) + (B56*0.1), 1),"")</f>
        <v>7.9</v>
      </c>
    </row>
  </sheetData>
  <mergeCells count="8">
    <mergeCell ref="A1:D1"/>
    <mergeCell ref="A4:D4"/>
    <mergeCell ref="A13:D13"/>
    <mergeCell ref="A22:D22"/>
    <mergeCell ref="A31:D31"/>
    <mergeCell ref="A40:D40"/>
    <mergeCell ref="A49:D49"/>
    <mergeCell ref="A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2"/>
    <col collapsed="false" customWidth="true" hidden="false" outlineLevel="0" max="4" min="4" style="1" width="35"/>
  </cols>
  <sheetData>
    <row r="1" customFormat="false" ht="17.35" hidden="false" customHeight="false" outlineLevel="0" collapsed="false">
      <c r="A1" s="8" t="s">
        <v>106</v>
      </c>
      <c r="B1" s="8"/>
      <c r="C1" s="8"/>
      <c r="D1" s="8"/>
    </row>
    <row r="2" customFormat="false" ht="15" hidden="false" customHeight="false" outlineLevel="0" collapsed="false">
      <c r="A2" s="1" t="s">
        <v>29</v>
      </c>
      <c r="B2" s="20"/>
    </row>
    <row r="4" customFormat="false" ht="15" hidden="false" customHeight="false" outlineLevel="0" collapsed="false">
      <c r="A4" s="11" t="s">
        <v>31</v>
      </c>
      <c r="B4" s="11"/>
      <c r="C4" s="11"/>
      <c r="D4" s="11"/>
    </row>
    <row r="5" customFormat="false" ht="15" hidden="false" customHeight="false" outlineLevel="0" collapsed="false">
      <c r="A5" s="21" t="s">
        <v>32</v>
      </c>
      <c r="B5" s="21" t="s">
        <v>33</v>
      </c>
      <c r="C5" s="21" t="s">
        <v>34</v>
      </c>
    </row>
    <row r="6" customFormat="false" ht="15" hidden="false" customHeight="false" outlineLevel="0" collapsed="false">
      <c r="A6" s="22" t="s">
        <v>35</v>
      </c>
      <c r="B6" s="23"/>
      <c r="C6" s="22"/>
    </row>
    <row r="7" customFormat="false" ht="15" hidden="false" customHeight="false" outlineLevel="0" collapsed="false">
      <c r="A7" s="22" t="s">
        <v>37</v>
      </c>
      <c r="B7" s="23"/>
      <c r="C7" s="22"/>
    </row>
    <row r="8" customFormat="false" ht="15" hidden="false" customHeight="false" outlineLevel="0" collapsed="false">
      <c r="A8" s="22" t="s">
        <v>39</v>
      </c>
      <c r="B8" s="23"/>
      <c r="C8" s="22"/>
    </row>
    <row r="9" customFormat="false" ht="15" hidden="false" customHeight="false" outlineLevel="0" collapsed="false">
      <c r="A9" s="22" t="s">
        <v>41</v>
      </c>
      <c r="B9" s="23"/>
      <c r="C9" s="22"/>
    </row>
    <row r="10" customFormat="false" ht="15" hidden="false" customHeight="false" outlineLevel="0" collapsed="false">
      <c r="A10" s="22" t="s">
        <v>43</v>
      </c>
      <c r="B10" s="23"/>
      <c r="C10" s="22"/>
    </row>
    <row r="11" customFormat="false" ht="15" hidden="false" customHeight="false" outlineLevel="0" collapsed="false">
      <c r="A11" s="24" t="s">
        <v>45</v>
      </c>
      <c r="B11" s="25" t="str">
        <f aca="false">IFERROR(AVERAGE(B6:B10),"")</f>
        <v/>
      </c>
    </row>
    <row r="13" customFormat="false" ht="15" hidden="false" customHeight="false" outlineLevel="0" collapsed="false">
      <c r="A13" s="11" t="s">
        <v>46</v>
      </c>
      <c r="B13" s="11"/>
      <c r="C13" s="11"/>
      <c r="D13" s="11"/>
    </row>
    <row r="14" customFormat="false" ht="15" hidden="false" customHeight="false" outlineLevel="0" collapsed="false">
      <c r="A14" s="21" t="s">
        <v>32</v>
      </c>
      <c r="B14" s="21" t="s">
        <v>33</v>
      </c>
      <c r="C14" s="21" t="s">
        <v>34</v>
      </c>
    </row>
    <row r="15" customFormat="false" ht="15" hidden="false" customHeight="false" outlineLevel="0" collapsed="false">
      <c r="A15" s="22" t="s">
        <v>47</v>
      </c>
      <c r="B15" s="23"/>
      <c r="C15" s="22"/>
    </row>
    <row r="16" customFormat="false" ht="15" hidden="false" customHeight="false" outlineLevel="0" collapsed="false">
      <c r="A16" s="22" t="s">
        <v>49</v>
      </c>
      <c r="B16" s="23"/>
      <c r="C16" s="22"/>
    </row>
    <row r="17" customFormat="false" ht="15" hidden="false" customHeight="false" outlineLevel="0" collapsed="false">
      <c r="A17" s="22" t="s">
        <v>51</v>
      </c>
      <c r="B17" s="23"/>
      <c r="C17" s="22"/>
    </row>
    <row r="18" customFormat="false" ht="15" hidden="false" customHeight="false" outlineLevel="0" collapsed="false">
      <c r="A18" s="22" t="s">
        <v>53</v>
      </c>
      <c r="B18" s="23"/>
      <c r="C18" s="22"/>
    </row>
    <row r="19" customFormat="false" ht="15" hidden="false" customHeight="false" outlineLevel="0" collapsed="false">
      <c r="A19" s="22" t="s">
        <v>55</v>
      </c>
      <c r="B19" s="23"/>
      <c r="C19" s="22"/>
    </row>
    <row r="20" customFormat="false" ht="15" hidden="false" customHeight="false" outlineLevel="0" collapsed="false">
      <c r="A20" s="24" t="s">
        <v>57</v>
      </c>
      <c r="B20" s="25" t="str">
        <f aca="false">IFERROR(AVERAGE(B15:B19),"")</f>
        <v/>
      </c>
    </row>
    <row r="22" customFormat="false" ht="15" hidden="false" customHeight="false" outlineLevel="0" collapsed="false">
      <c r="A22" s="11" t="s">
        <v>58</v>
      </c>
      <c r="B22" s="11"/>
      <c r="C22" s="11"/>
      <c r="D22" s="11"/>
    </row>
    <row r="23" customFormat="false" ht="15" hidden="false" customHeight="false" outlineLevel="0" collapsed="false">
      <c r="A23" s="21" t="s">
        <v>32</v>
      </c>
      <c r="B23" s="21" t="s">
        <v>33</v>
      </c>
      <c r="C23" s="21" t="s">
        <v>34</v>
      </c>
    </row>
    <row r="24" customFormat="false" ht="15" hidden="false" customHeight="false" outlineLevel="0" collapsed="false">
      <c r="A24" s="22" t="s">
        <v>59</v>
      </c>
      <c r="B24" s="23"/>
      <c r="C24" s="22"/>
    </row>
    <row r="25" customFormat="false" ht="15" hidden="false" customHeight="false" outlineLevel="0" collapsed="false">
      <c r="A25" s="22" t="s">
        <v>61</v>
      </c>
      <c r="B25" s="23"/>
      <c r="C25" s="22"/>
    </row>
    <row r="26" customFormat="false" ht="15" hidden="false" customHeight="false" outlineLevel="0" collapsed="false">
      <c r="A26" s="22" t="s">
        <v>63</v>
      </c>
      <c r="B26" s="23"/>
      <c r="C26" s="22"/>
    </row>
    <row r="27" customFormat="false" ht="15" hidden="false" customHeight="false" outlineLevel="0" collapsed="false">
      <c r="A27" s="22" t="s">
        <v>65</v>
      </c>
      <c r="B27" s="23"/>
      <c r="C27" s="22"/>
    </row>
    <row r="28" customFormat="false" ht="15" hidden="false" customHeight="false" outlineLevel="0" collapsed="false">
      <c r="A28" s="22" t="s">
        <v>67</v>
      </c>
      <c r="B28" s="23"/>
      <c r="C28" s="22"/>
    </row>
    <row r="29" customFormat="false" ht="15" hidden="false" customHeight="false" outlineLevel="0" collapsed="false">
      <c r="A29" s="24" t="s">
        <v>69</v>
      </c>
      <c r="B29" s="25" t="str">
        <f aca="false">IFERROR(AVERAGE(B24:B28),"")</f>
        <v/>
      </c>
    </row>
    <row r="31" customFormat="false" ht="15" hidden="false" customHeight="false" outlineLevel="0" collapsed="false">
      <c r="A31" s="11" t="s">
        <v>70</v>
      </c>
      <c r="B31" s="11"/>
      <c r="C31" s="11"/>
      <c r="D31" s="11"/>
    </row>
    <row r="32" customFormat="false" ht="15" hidden="false" customHeight="false" outlineLevel="0" collapsed="false">
      <c r="A32" s="21" t="s">
        <v>32</v>
      </c>
      <c r="B32" s="21" t="s">
        <v>33</v>
      </c>
      <c r="C32" s="21" t="s">
        <v>34</v>
      </c>
    </row>
    <row r="33" customFormat="false" ht="15" hidden="false" customHeight="false" outlineLevel="0" collapsed="false">
      <c r="A33" s="22" t="s">
        <v>71</v>
      </c>
      <c r="B33" s="23"/>
      <c r="C33" s="22"/>
    </row>
    <row r="34" customFormat="false" ht="15" hidden="false" customHeight="false" outlineLevel="0" collapsed="false">
      <c r="A34" s="22" t="s">
        <v>73</v>
      </c>
      <c r="B34" s="23"/>
      <c r="C34" s="22"/>
    </row>
    <row r="35" customFormat="false" ht="15" hidden="false" customHeight="false" outlineLevel="0" collapsed="false">
      <c r="A35" s="22" t="s">
        <v>75</v>
      </c>
      <c r="B35" s="23"/>
      <c r="C35" s="22"/>
    </row>
    <row r="36" customFormat="false" ht="15" hidden="false" customHeight="false" outlineLevel="0" collapsed="false">
      <c r="A36" s="22" t="s">
        <v>77</v>
      </c>
      <c r="B36" s="23"/>
      <c r="C36" s="22"/>
    </row>
    <row r="37" customFormat="false" ht="15" hidden="false" customHeight="false" outlineLevel="0" collapsed="false">
      <c r="A37" s="22" t="s">
        <v>79</v>
      </c>
      <c r="B37" s="23"/>
      <c r="C37" s="22"/>
    </row>
    <row r="38" customFormat="false" ht="15" hidden="false" customHeight="false" outlineLevel="0" collapsed="false">
      <c r="A38" s="24" t="s">
        <v>57</v>
      </c>
      <c r="B38" s="25" t="str">
        <f aca="false">IFERROR(AVERAGE(B33:B37),"")</f>
        <v/>
      </c>
    </row>
    <row r="40" customFormat="false" ht="15" hidden="false" customHeight="false" outlineLevel="0" collapsed="false">
      <c r="A40" s="11" t="s">
        <v>81</v>
      </c>
      <c r="B40" s="11"/>
      <c r="C40" s="11"/>
      <c r="D40" s="11"/>
    </row>
    <row r="41" customFormat="false" ht="15" hidden="false" customHeight="false" outlineLevel="0" collapsed="false">
      <c r="A41" s="21" t="s">
        <v>32</v>
      </c>
      <c r="B41" s="21" t="s">
        <v>33</v>
      </c>
      <c r="C41" s="21" t="s">
        <v>34</v>
      </c>
    </row>
    <row r="42" customFormat="false" ht="15" hidden="false" customHeight="false" outlineLevel="0" collapsed="false">
      <c r="A42" s="22" t="s">
        <v>82</v>
      </c>
      <c r="B42" s="23"/>
      <c r="C42" s="22"/>
    </row>
    <row r="43" customFormat="false" ht="15" hidden="false" customHeight="false" outlineLevel="0" collapsed="false">
      <c r="A43" s="22" t="s">
        <v>84</v>
      </c>
      <c r="B43" s="23"/>
      <c r="C43" s="22"/>
    </row>
    <row r="44" customFormat="false" ht="15" hidden="false" customHeight="false" outlineLevel="0" collapsed="false">
      <c r="A44" s="22" t="s">
        <v>86</v>
      </c>
      <c r="B44" s="23"/>
      <c r="C44" s="22"/>
    </row>
    <row r="45" customFormat="false" ht="15" hidden="false" customHeight="false" outlineLevel="0" collapsed="false">
      <c r="A45" s="22" t="s">
        <v>88</v>
      </c>
      <c r="B45" s="23"/>
      <c r="C45" s="22"/>
    </row>
    <row r="46" customFormat="false" ht="15" hidden="false" customHeight="false" outlineLevel="0" collapsed="false">
      <c r="A46" s="22" t="s">
        <v>90</v>
      </c>
      <c r="B46" s="23"/>
      <c r="C46" s="22"/>
    </row>
    <row r="47" customFormat="false" ht="15" hidden="false" customHeight="false" outlineLevel="0" collapsed="false">
      <c r="A47" s="24" t="s">
        <v>92</v>
      </c>
      <c r="B47" s="25" t="str">
        <f aca="false">IFERROR(AVERAGE(B42:B46),"")</f>
        <v/>
      </c>
    </row>
    <row r="49" customFormat="false" ht="15" hidden="false" customHeight="false" outlineLevel="0" collapsed="false">
      <c r="A49" s="11" t="s">
        <v>93</v>
      </c>
      <c r="B49" s="11"/>
      <c r="C49" s="11"/>
      <c r="D49" s="11"/>
    </row>
    <row r="50" customFormat="false" ht="15" hidden="false" customHeight="false" outlineLevel="0" collapsed="false">
      <c r="A50" s="21" t="s">
        <v>32</v>
      </c>
      <c r="B50" s="21" t="s">
        <v>33</v>
      </c>
      <c r="C50" s="21" t="s">
        <v>34</v>
      </c>
    </row>
    <row r="51" customFormat="false" ht="15" hidden="false" customHeight="false" outlineLevel="0" collapsed="false">
      <c r="A51" s="22" t="s">
        <v>94</v>
      </c>
      <c r="B51" s="23"/>
      <c r="C51" s="22"/>
    </row>
    <row r="52" customFormat="false" ht="15" hidden="false" customHeight="false" outlineLevel="0" collapsed="false">
      <c r="A52" s="22" t="s">
        <v>96</v>
      </c>
      <c r="B52" s="23"/>
      <c r="C52" s="22"/>
    </row>
    <row r="53" customFormat="false" ht="15" hidden="false" customHeight="false" outlineLevel="0" collapsed="false">
      <c r="A53" s="22" t="s">
        <v>98</v>
      </c>
      <c r="B53" s="23"/>
      <c r="C53" s="22"/>
    </row>
    <row r="54" customFormat="false" ht="15" hidden="false" customHeight="false" outlineLevel="0" collapsed="false">
      <c r="A54" s="22" t="s">
        <v>100</v>
      </c>
      <c r="B54" s="23"/>
      <c r="C54" s="22"/>
    </row>
    <row r="55" customFormat="false" ht="15" hidden="false" customHeight="false" outlineLevel="0" collapsed="false">
      <c r="A55" s="22" t="s">
        <v>102</v>
      </c>
      <c r="B55" s="23"/>
      <c r="C55" s="22"/>
    </row>
    <row r="56" customFormat="false" ht="15" hidden="false" customHeight="false" outlineLevel="0" collapsed="false">
      <c r="A56" s="24" t="s">
        <v>92</v>
      </c>
      <c r="B56" s="25" t="str">
        <f aca="false">IFERROR(AVERAGE(B51:B55),"")</f>
        <v/>
      </c>
    </row>
    <row r="58" customFormat="false" ht="15" hidden="false" customHeight="false" outlineLevel="0" collapsed="false">
      <c r="A58" s="26" t="s">
        <v>104</v>
      </c>
      <c r="B58" s="26"/>
      <c r="C58" s="26"/>
      <c r="D58" s="26"/>
    </row>
    <row r="59" customFormat="false" ht="17.35" hidden="false" customHeight="false" outlineLevel="0" collapsed="false">
      <c r="A59" s="7" t="s">
        <v>105</v>
      </c>
      <c r="B59" s="27" t="str">
        <f aca="false">IFERROR(ROUND((B11*0.25) + (B20*0.2) + (B29*0.15) + (B38*0.2) + (B47*0.1) + (B56*0.1), 1),"")</f>
        <v/>
      </c>
    </row>
  </sheetData>
  <mergeCells count="8">
    <mergeCell ref="A1:D1"/>
    <mergeCell ref="A4:D4"/>
    <mergeCell ref="A13:D13"/>
    <mergeCell ref="A22:D22"/>
    <mergeCell ref="A31:D31"/>
    <mergeCell ref="A40:D40"/>
    <mergeCell ref="A49:D49"/>
    <mergeCell ref="A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2"/>
    <col collapsed="false" customWidth="true" hidden="false" outlineLevel="0" max="4" min="4" style="1" width="35"/>
  </cols>
  <sheetData>
    <row r="1" customFormat="false" ht="17.35" hidden="false" customHeight="false" outlineLevel="0" collapsed="false">
      <c r="A1" s="8" t="s">
        <v>107</v>
      </c>
      <c r="B1" s="8"/>
      <c r="C1" s="8"/>
      <c r="D1" s="8"/>
    </row>
    <row r="2" customFormat="false" ht="15" hidden="false" customHeight="false" outlineLevel="0" collapsed="false">
      <c r="A2" s="1" t="s">
        <v>29</v>
      </c>
      <c r="B2" s="20"/>
    </row>
    <row r="4" customFormat="false" ht="15" hidden="false" customHeight="false" outlineLevel="0" collapsed="false">
      <c r="A4" s="11" t="s">
        <v>31</v>
      </c>
      <c r="B4" s="11"/>
      <c r="C4" s="11"/>
      <c r="D4" s="11"/>
    </row>
    <row r="5" customFormat="false" ht="15" hidden="false" customHeight="false" outlineLevel="0" collapsed="false">
      <c r="A5" s="21" t="s">
        <v>32</v>
      </c>
      <c r="B5" s="21" t="s">
        <v>33</v>
      </c>
      <c r="C5" s="21" t="s">
        <v>34</v>
      </c>
    </row>
    <row r="6" customFormat="false" ht="15" hidden="false" customHeight="false" outlineLevel="0" collapsed="false">
      <c r="A6" s="22" t="s">
        <v>35</v>
      </c>
      <c r="B6" s="23"/>
      <c r="C6" s="22"/>
    </row>
    <row r="7" customFormat="false" ht="15" hidden="false" customHeight="false" outlineLevel="0" collapsed="false">
      <c r="A7" s="22" t="s">
        <v>37</v>
      </c>
      <c r="B7" s="23"/>
      <c r="C7" s="22"/>
    </row>
    <row r="8" customFormat="false" ht="15" hidden="false" customHeight="false" outlineLevel="0" collapsed="false">
      <c r="A8" s="22" t="s">
        <v>39</v>
      </c>
      <c r="B8" s="23"/>
      <c r="C8" s="22"/>
    </row>
    <row r="9" customFormat="false" ht="15" hidden="false" customHeight="false" outlineLevel="0" collapsed="false">
      <c r="A9" s="22" t="s">
        <v>41</v>
      </c>
      <c r="B9" s="23"/>
      <c r="C9" s="22"/>
    </row>
    <row r="10" customFormat="false" ht="15" hidden="false" customHeight="false" outlineLevel="0" collapsed="false">
      <c r="A10" s="22" t="s">
        <v>43</v>
      </c>
      <c r="B10" s="23"/>
      <c r="C10" s="22"/>
    </row>
    <row r="11" customFormat="false" ht="15" hidden="false" customHeight="false" outlineLevel="0" collapsed="false">
      <c r="A11" s="24" t="s">
        <v>45</v>
      </c>
      <c r="B11" s="25" t="str">
        <f aca="false">IFERROR(AVERAGE(B6:B10),"")</f>
        <v/>
      </c>
    </row>
    <row r="13" customFormat="false" ht="15" hidden="false" customHeight="false" outlineLevel="0" collapsed="false">
      <c r="A13" s="11" t="s">
        <v>46</v>
      </c>
      <c r="B13" s="11"/>
      <c r="C13" s="11"/>
      <c r="D13" s="11"/>
    </row>
    <row r="14" customFormat="false" ht="15" hidden="false" customHeight="false" outlineLevel="0" collapsed="false">
      <c r="A14" s="21" t="s">
        <v>32</v>
      </c>
      <c r="B14" s="21" t="s">
        <v>33</v>
      </c>
      <c r="C14" s="21" t="s">
        <v>34</v>
      </c>
    </row>
    <row r="15" customFormat="false" ht="15" hidden="false" customHeight="false" outlineLevel="0" collapsed="false">
      <c r="A15" s="22" t="s">
        <v>47</v>
      </c>
      <c r="B15" s="23"/>
      <c r="C15" s="22"/>
    </row>
    <row r="16" customFormat="false" ht="15" hidden="false" customHeight="false" outlineLevel="0" collapsed="false">
      <c r="A16" s="22" t="s">
        <v>49</v>
      </c>
      <c r="B16" s="23"/>
      <c r="C16" s="22"/>
    </row>
    <row r="17" customFormat="false" ht="15" hidden="false" customHeight="false" outlineLevel="0" collapsed="false">
      <c r="A17" s="22" t="s">
        <v>51</v>
      </c>
      <c r="B17" s="23"/>
      <c r="C17" s="22"/>
    </row>
    <row r="18" customFormat="false" ht="15" hidden="false" customHeight="false" outlineLevel="0" collapsed="false">
      <c r="A18" s="22" t="s">
        <v>53</v>
      </c>
      <c r="B18" s="23"/>
      <c r="C18" s="22"/>
    </row>
    <row r="19" customFormat="false" ht="15" hidden="false" customHeight="false" outlineLevel="0" collapsed="false">
      <c r="A19" s="22" t="s">
        <v>55</v>
      </c>
      <c r="B19" s="23"/>
      <c r="C19" s="22"/>
    </row>
    <row r="20" customFormat="false" ht="15" hidden="false" customHeight="false" outlineLevel="0" collapsed="false">
      <c r="A20" s="24" t="s">
        <v>57</v>
      </c>
      <c r="B20" s="25" t="str">
        <f aca="false">IFERROR(AVERAGE(B15:B19),"")</f>
        <v/>
      </c>
    </row>
    <row r="22" customFormat="false" ht="15" hidden="false" customHeight="false" outlineLevel="0" collapsed="false">
      <c r="A22" s="11" t="s">
        <v>58</v>
      </c>
      <c r="B22" s="11"/>
      <c r="C22" s="11"/>
      <c r="D22" s="11"/>
    </row>
    <row r="23" customFormat="false" ht="15" hidden="false" customHeight="false" outlineLevel="0" collapsed="false">
      <c r="A23" s="21" t="s">
        <v>32</v>
      </c>
      <c r="B23" s="21" t="s">
        <v>33</v>
      </c>
      <c r="C23" s="21" t="s">
        <v>34</v>
      </c>
    </row>
    <row r="24" customFormat="false" ht="15" hidden="false" customHeight="false" outlineLevel="0" collapsed="false">
      <c r="A24" s="22" t="s">
        <v>59</v>
      </c>
      <c r="B24" s="23"/>
      <c r="C24" s="22"/>
    </row>
    <row r="25" customFormat="false" ht="15" hidden="false" customHeight="false" outlineLevel="0" collapsed="false">
      <c r="A25" s="22" t="s">
        <v>61</v>
      </c>
      <c r="B25" s="23"/>
      <c r="C25" s="22"/>
    </row>
    <row r="26" customFormat="false" ht="15" hidden="false" customHeight="false" outlineLevel="0" collapsed="false">
      <c r="A26" s="22" t="s">
        <v>63</v>
      </c>
      <c r="B26" s="23"/>
      <c r="C26" s="22"/>
    </row>
    <row r="27" customFormat="false" ht="15" hidden="false" customHeight="false" outlineLevel="0" collapsed="false">
      <c r="A27" s="22" t="s">
        <v>65</v>
      </c>
      <c r="B27" s="23"/>
      <c r="C27" s="22"/>
    </row>
    <row r="28" customFormat="false" ht="15" hidden="false" customHeight="false" outlineLevel="0" collapsed="false">
      <c r="A28" s="22" t="s">
        <v>67</v>
      </c>
      <c r="B28" s="23"/>
      <c r="C28" s="22"/>
    </row>
    <row r="29" customFormat="false" ht="15" hidden="false" customHeight="false" outlineLevel="0" collapsed="false">
      <c r="A29" s="24" t="s">
        <v>69</v>
      </c>
      <c r="B29" s="25" t="str">
        <f aca="false">IFERROR(AVERAGE(B24:B28),"")</f>
        <v/>
      </c>
    </row>
    <row r="31" customFormat="false" ht="15" hidden="false" customHeight="false" outlineLevel="0" collapsed="false">
      <c r="A31" s="11" t="s">
        <v>70</v>
      </c>
      <c r="B31" s="11"/>
      <c r="C31" s="11"/>
      <c r="D31" s="11"/>
    </row>
    <row r="32" customFormat="false" ht="15" hidden="false" customHeight="false" outlineLevel="0" collapsed="false">
      <c r="A32" s="21" t="s">
        <v>32</v>
      </c>
      <c r="B32" s="21" t="s">
        <v>33</v>
      </c>
      <c r="C32" s="21" t="s">
        <v>34</v>
      </c>
    </row>
    <row r="33" customFormat="false" ht="15" hidden="false" customHeight="false" outlineLevel="0" collapsed="false">
      <c r="A33" s="22" t="s">
        <v>71</v>
      </c>
      <c r="B33" s="23"/>
      <c r="C33" s="22"/>
    </row>
    <row r="34" customFormat="false" ht="15" hidden="false" customHeight="false" outlineLevel="0" collapsed="false">
      <c r="A34" s="22" t="s">
        <v>73</v>
      </c>
      <c r="B34" s="23"/>
      <c r="C34" s="22"/>
    </row>
    <row r="35" customFormat="false" ht="15" hidden="false" customHeight="false" outlineLevel="0" collapsed="false">
      <c r="A35" s="22" t="s">
        <v>75</v>
      </c>
      <c r="B35" s="23"/>
      <c r="C35" s="22"/>
    </row>
    <row r="36" customFormat="false" ht="15" hidden="false" customHeight="false" outlineLevel="0" collapsed="false">
      <c r="A36" s="22" t="s">
        <v>77</v>
      </c>
      <c r="B36" s="23"/>
      <c r="C36" s="22"/>
    </row>
    <row r="37" customFormat="false" ht="15" hidden="false" customHeight="false" outlineLevel="0" collapsed="false">
      <c r="A37" s="22" t="s">
        <v>79</v>
      </c>
      <c r="B37" s="23"/>
      <c r="C37" s="22"/>
    </row>
    <row r="38" customFormat="false" ht="15" hidden="false" customHeight="false" outlineLevel="0" collapsed="false">
      <c r="A38" s="24" t="s">
        <v>57</v>
      </c>
      <c r="B38" s="25" t="str">
        <f aca="false">IFERROR(AVERAGE(B33:B37),"")</f>
        <v/>
      </c>
    </row>
    <row r="40" customFormat="false" ht="15" hidden="false" customHeight="false" outlineLevel="0" collapsed="false">
      <c r="A40" s="11" t="s">
        <v>81</v>
      </c>
      <c r="B40" s="11"/>
      <c r="C40" s="11"/>
      <c r="D40" s="11"/>
    </row>
    <row r="41" customFormat="false" ht="15" hidden="false" customHeight="false" outlineLevel="0" collapsed="false">
      <c r="A41" s="21" t="s">
        <v>32</v>
      </c>
      <c r="B41" s="21" t="s">
        <v>33</v>
      </c>
      <c r="C41" s="21" t="s">
        <v>34</v>
      </c>
    </row>
    <row r="42" customFormat="false" ht="15" hidden="false" customHeight="false" outlineLevel="0" collapsed="false">
      <c r="A42" s="22" t="s">
        <v>82</v>
      </c>
      <c r="B42" s="23"/>
      <c r="C42" s="22"/>
    </row>
    <row r="43" customFormat="false" ht="15" hidden="false" customHeight="false" outlineLevel="0" collapsed="false">
      <c r="A43" s="22" t="s">
        <v>84</v>
      </c>
      <c r="B43" s="23"/>
      <c r="C43" s="22"/>
    </row>
    <row r="44" customFormat="false" ht="15" hidden="false" customHeight="false" outlineLevel="0" collapsed="false">
      <c r="A44" s="22" t="s">
        <v>86</v>
      </c>
      <c r="B44" s="23"/>
      <c r="C44" s="22"/>
    </row>
    <row r="45" customFormat="false" ht="15" hidden="false" customHeight="false" outlineLevel="0" collapsed="false">
      <c r="A45" s="22" t="s">
        <v>88</v>
      </c>
      <c r="B45" s="23"/>
      <c r="C45" s="22"/>
    </row>
    <row r="46" customFormat="false" ht="15" hidden="false" customHeight="false" outlineLevel="0" collapsed="false">
      <c r="A46" s="22" t="s">
        <v>90</v>
      </c>
      <c r="B46" s="23"/>
      <c r="C46" s="22"/>
    </row>
    <row r="47" customFormat="false" ht="15" hidden="false" customHeight="false" outlineLevel="0" collapsed="false">
      <c r="A47" s="24" t="s">
        <v>92</v>
      </c>
      <c r="B47" s="25" t="str">
        <f aca="false">IFERROR(AVERAGE(B42:B46),"")</f>
        <v/>
      </c>
    </row>
    <row r="49" customFormat="false" ht="15" hidden="false" customHeight="false" outlineLevel="0" collapsed="false">
      <c r="A49" s="11" t="s">
        <v>93</v>
      </c>
      <c r="B49" s="11"/>
      <c r="C49" s="11"/>
      <c r="D49" s="11"/>
    </row>
    <row r="50" customFormat="false" ht="15" hidden="false" customHeight="false" outlineLevel="0" collapsed="false">
      <c r="A50" s="21" t="s">
        <v>32</v>
      </c>
      <c r="B50" s="21" t="s">
        <v>33</v>
      </c>
      <c r="C50" s="21" t="s">
        <v>34</v>
      </c>
    </row>
    <row r="51" customFormat="false" ht="15" hidden="false" customHeight="false" outlineLevel="0" collapsed="false">
      <c r="A51" s="22" t="s">
        <v>94</v>
      </c>
      <c r="B51" s="23"/>
      <c r="C51" s="22"/>
    </row>
    <row r="52" customFormat="false" ht="15" hidden="false" customHeight="false" outlineLevel="0" collapsed="false">
      <c r="A52" s="22" t="s">
        <v>96</v>
      </c>
      <c r="B52" s="23"/>
      <c r="C52" s="22"/>
    </row>
    <row r="53" customFormat="false" ht="15" hidden="false" customHeight="false" outlineLevel="0" collapsed="false">
      <c r="A53" s="22" t="s">
        <v>98</v>
      </c>
      <c r="B53" s="23"/>
      <c r="C53" s="22"/>
    </row>
    <row r="54" customFormat="false" ht="15" hidden="false" customHeight="false" outlineLevel="0" collapsed="false">
      <c r="A54" s="22" t="s">
        <v>100</v>
      </c>
      <c r="B54" s="23"/>
      <c r="C54" s="22"/>
    </row>
    <row r="55" customFormat="false" ht="15" hidden="false" customHeight="false" outlineLevel="0" collapsed="false">
      <c r="A55" s="22" t="s">
        <v>102</v>
      </c>
      <c r="B55" s="23"/>
      <c r="C55" s="22"/>
    </row>
    <row r="56" customFormat="false" ht="15" hidden="false" customHeight="false" outlineLevel="0" collapsed="false">
      <c r="A56" s="24" t="s">
        <v>92</v>
      </c>
      <c r="B56" s="25" t="str">
        <f aca="false">IFERROR(AVERAGE(B51:B55),"")</f>
        <v/>
      </c>
    </row>
    <row r="58" customFormat="false" ht="15" hidden="false" customHeight="false" outlineLevel="0" collapsed="false">
      <c r="A58" s="26" t="s">
        <v>104</v>
      </c>
      <c r="B58" s="26"/>
      <c r="C58" s="26"/>
      <c r="D58" s="26"/>
    </row>
    <row r="59" customFormat="false" ht="17.35" hidden="false" customHeight="false" outlineLevel="0" collapsed="false">
      <c r="A59" s="7" t="s">
        <v>105</v>
      </c>
      <c r="B59" s="27" t="str">
        <f aca="false">IFERROR(ROUND((B11*0.25) + (B20*0.2) + (B29*0.15) + (B38*0.2) + (B47*0.1) + (B56*0.1), 1),"")</f>
        <v/>
      </c>
    </row>
  </sheetData>
  <mergeCells count="8">
    <mergeCell ref="A1:D1"/>
    <mergeCell ref="A4:D4"/>
    <mergeCell ref="A13:D13"/>
    <mergeCell ref="A22:D22"/>
    <mergeCell ref="A31:D31"/>
    <mergeCell ref="A40:D40"/>
    <mergeCell ref="A49:D49"/>
    <mergeCell ref="A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5"/>
    <col collapsed="false" customWidth="true" hidden="false" outlineLevel="0" max="3" min="3" style="1" width="60"/>
  </cols>
  <sheetData>
    <row r="1" customFormat="false" ht="17.35" hidden="false" customHeight="false" outlineLevel="0" collapsed="false">
      <c r="A1" s="8" t="s">
        <v>108</v>
      </c>
      <c r="B1" s="8"/>
      <c r="C1" s="8"/>
    </row>
    <row r="3" customFormat="false" ht="15" hidden="false" customHeight="false" outlineLevel="0" collapsed="false">
      <c r="A3" s="9" t="s">
        <v>109</v>
      </c>
      <c r="B3" s="9"/>
      <c r="C3" s="9"/>
    </row>
    <row r="5" customFormat="false" ht="15" hidden="false" customHeight="false" outlineLevel="0" collapsed="false">
      <c r="A5" s="11" t="s">
        <v>110</v>
      </c>
      <c r="B5" s="11"/>
      <c r="C5" s="11"/>
    </row>
    <row r="6" customFormat="false" ht="23.85" hidden="false" customHeight="false" outlineLevel="0" collapsed="false">
      <c r="A6" s="22" t="s">
        <v>111</v>
      </c>
      <c r="B6" s="22" t="s">
        <v>112</v>
      </c>
      <c r="C6" s="28" t="s">
        <v>113</v>
      </c>
    </row>
    <row r="7" customFormat="false" ht="23.85" hidden="false" customHeight="false" outlineLevel="0" collapsed="false">
      <c r="A7" s="22" t="s">
        <v>114</v>
      </c>
      <c r="B7" s="22" t="s">
        <v>115</v>
      </c>
      <c r="C7" s="28" t="s">
        <v>116</v>
      </c>
    </row>
    <row r="8" customFormat="false" ht="23.85" hidden="false" customHeight="false" outlineLevel="0" collapsed="false">
      <c r="A8" s="22" t="s">
        <v>117</v>
      </c>
      <c r="B8" s="22" t="s">
        <v>118</v>
      </c>
      <c r="C8" s="28" t="s">
        <v>119</v>
      </c>
    </row>
    <row r="10" customFormat="false" ht="15" hidden="false" customHeight="false" outlineLevel="0" collapsed="false">
      <c r="A10" s="11" t="s">
        <v>120</v>
      </c>
      <c r="B10" s="11"/>
      <c r="C10" s="11"/>
    </row>
    <row r="11" customFormat="false" ht="23.85" hidden="false" customHeight="false" outlineLevel="0" collapsed="false">
      <c r="A11" s="22" t="s">
        <v>111</v>
      </c>
      <c r="B11" s="22" t="s">
        <v>112</v>
      </c>
      <c r="C11" s="28" t="s">
        <v>121</v>
      </c>
    </row>
    <row r="12" customFormat="false" ht="23.85" hidden="false" customHeight="false" outlineLevel="0" collapsed="false">
      <c r="A12" s="22" t="s">
        <v>114</v>
      </c>
      <c r="B12" s="22" t="s">
        <v>115</v>
      </c>
      <c r="C12" s="28" t="s">
        <v>122</v>
      </c>
    </row>
    <row r="13" customFormat="false" ht="23.85" hidden="false" customHeight="false" outlineLevel="0" collapsed="false">
      <c r="A13" s="22" t="s">
        <v>117</v>
      </c>
      <c r="B13" s="22" t="s">
        <v>118</v>
      </c>
      <c r="C13" s="28" t="s">
        <v>123</v>
      </c>
    </row>
    <row r="15" customFormat="false" ht="15" hidden="false" customHeight="false" outlineLevel="0" collapsed="false">
      <c r="A15" s="11" t="s">
        <v>124</v>
      </c>
      <c r="B15" s="11"/>
      <c r="C15" s="11"/>
    </row>
    <row r="16" customFormat="false" ht="23.85" hidden="false" customHeight="false" outlineLevel="0" collapsed="false">
      <c r="A16" s="22" t="s">
        <v>111</v>
      </c>
      <c r="B16" s="22" t="s">
        <v>112</v>
      </c>
      <c r="C16" s="28" t="s">
        <v>125</v>
      </c>
    </row>
    <row r="17" customFormat="false" ht="23.85" hidden="false" customHeight="false" outlineLevel="0" collapsed="false">
      <c r="A17" s="22" t="s">
        <v>114</v>
      </c>
      <c r="B17" s="22" t="s">
        <v>115</v>
      </c>
      <c r="C17" s="28" t="s">
        <v>126</v>
      </c>
    </row>
    <row r="18" customFormat="false" ht="23.85" hidden="false" customHeight="false" outlineLevel="0" collapsed="false">
      <c r="A18" s="22" t="s">
        <v>117</v>
      </c>
      <c r="B18" s="22" t="s">
        <v>118</v>
      </c>
      <c r="C18" s="28" t="s">
        <v>127</v>
      </c>
    </row>
    <row r="20" customFormat="false" ht="15" hidden="false" customHeight="false" outlineLevel="0" collapsed="false">
      <c r="A20" s="11" t="s">
        <v>128</v>
      </c>
      <c r="B20" s="11"/>
      <c r="C20" s="11"/>
    </row>
    <row r="21" customFormat="false" ht="23.85" hidden="false" customHeight="false" outlineLevel="0" collapsed="false">
      <c r="A21" s="22" t="s">
        <v>111</v>
      </c>
      <c r="B21" s="22" t="s">
        <v>112</v>
      </c>
      <c r="C21" s="28" t="s">
        <v>129</v>
      </c>
    </row>
    <row r="22" customFormat="false" ht="23.85" hidden="false" customHeight="false" outlineLevel="0" collapsed="false">
      <c r="A22" s="22" t="s">
        <v>114</v>
      </c>
      <c r="B22" s="22" t="s">
        <v>115</v>
      </c>
      <c r="C22" s="28" t="s">
        <v>130</v>
      </c>
    </row>
    <row r="23" customFormat="false" ht="23.85" hidden="false" customHeight="false" outlineLevel="0" collapsed="false">
      <c r="A23" s="22" t="s">
        <v>117</v>
      </c>
      <c r="B23" s="22" t="s">
        <v>118</v>
      </c>
      <c r="C23" s="28" t="s">
        <v>131</v>
      </c>
    </row>
    <row r="25" customFormat="false" ht="15" hidden="false" customHeight="false" outlineLevel="0" collapsed="false">
      <c r="A25" s="11" t="s">
        <v>132</v>
      </c>
      <c r="B25" s="11"/>
      <c r="C25" s="11"/>
    </row>
    <row r="26" customFormat="false" ht="15" hidden="false" customHeight="false" outlineLevel="0" collapsed="false">
      <c r="A26" s="22" t="s">
        <v>111</v>
      </c>
      <c r="B26" s="22" t="s">
        <v>112</v>
      </c>
      <c r="C26" s="28" t="s">
        <v>133</v>
      </c>
    </row>
    <row r="27" customFormat="false" ht="15" hidden="false" customHeight="false" outlineLevel="0" collapsed="false">
      <c r="A27" s="22" t="s">
        <v>114</v>
      </c>
      <c r="B27" s="22" t="s">
        <v>115</v>
      </c>
      <c r="C27" s="28" t="s">
        <v>134</v>
      </c>
    </row>
    <row r="28" customFormat="false" ht="15" hidden="false" customHeight="false" outlineLevel="0" collapsed="false">
      <c r="A28" s="22" t="s">
        <v>117</v>
      </c>
      <c r="B28" s="22" t="s">
        <v>118</v>
      </c>
      <c r="C28" s="28" t="s">
        <v>135</v>
      </c>
    </row>
    <row r="30" customFormat="false" ht="15" hidden="false" customHeight="false" outlineLevel="0" collapsed="false">
      <c r="A30" s="11" t="s">
        <v>136</v>
      </c>
      <c r="B30" s="11"/>
      <c r="C30" s="11"/>
    </row>
    <row r="31" customFormat="false" ht="23.85" hidden="false" customHeight="false" outlineLevel="0" collapsed="false">
      <c r="A31" s="22" t="s">
        <v>111</v>
      </c>
      <c r="B31" s="22" t="s">
        <v>112</v>
      </c>
      <c r="C31" s="28" t="s">
        <v>137</v>
      </c>
    </row>
    <row r="32" customFormat="false" ht="23.85" hidden="false" customHeight="false" outlineLevel="0" collapsed="false">
      <c r="A32" s="22" t="s">
        <v>114</v>
      </c>
      <c r="B32" s="22" t="s">
        <v>115</v>
      </c>
      <c r="C32" s="28" t="s">
        <v>138</v>
      </c>
    </row>
    <row r="33" customFormat="false" ht="23.85" hidden="false" customHeight="false" outlineLevel="0" collapsed="false">
      <c r="A33" s="22" t="s">
        <v>117</v>
      </c>
      <c r="B33" s="22" t="s">
        <v>118</v>
      </c>
      <c r="C33" s="28" t="s">
        <v>139</v>
      </c>
    </row>
  </sheetData>
  <mergeCells count="8">
    <mergeCell ref="A1:C1"/>
    <mergeCell ref="A3:C3"/>
    <mergeCell ref="A5:C5"/>
    <mergeCell ref="A10:C10"/>
    <mergeCell ref="A15:C15"/>
    <mergeCell ref="A20:C20"/>
    <mergeCell ref="A25:C25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2026-03-14T14:56:55Z</dcterms:created>
  <dc:creator>openpyxl</dc:creator>
  <dc:description/>
  <dc:language>en-US</dc:language>
  <cp:lastModifiedBy/>
  <dcterms:modified xsi:type="dcterms:W3CDTF">2026-03-14T14:57:07Z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