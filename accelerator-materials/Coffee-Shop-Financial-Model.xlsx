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tartup Costs" sheetId="2" state="visible" r:id="rId4"/>
    <sheet name="Monthly P&amp;L" sheetId="3" state="visible" r:id="rId5"/>
    <sheet name="Dashboard" sheetId="4" state="visible" r:id="rId6"/>
    <sheet name="Unit Economics" sheetId="5" state="visible" r:id="rId7"/>
    <sheet name="Break-Even Analysis" sheetId="6" state="visible" r:id="rId8"/>
    <sheet name="Cash Flow" sheetId="7" state="visible" r:id="rId9"/>
    <sheet name="Scenario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<sst xmlns="http://schemas.openxmlformats.org/spreadsheetml/2006/main" count="270" uniqueCount="220">
  <si>
    <t xml:space="preserve">ROAST LAUNCH</t>
  </si>
  <si>
    <t xml:space="preserve">KEY ASSUMPTIONS &amp; INPUT PARAMETERS</t>
  </si>
  <si>
    <t xml:space="preserve">CUSTOMER VOLUME &amp; GROWTH</t>
  </si>
  <si>
    <t xml:space="preserve">Starting Daily Customers (Month 1)</t>
  </si>
  <si>
    <t xml:space="preserve">Conservative ramp-up</t>
  </si>
  <si>
    <t xml:space="preserve">Target Daily Customers (Month 10+)</t>
  </si>
  <si>
    <t xml:space="preserve">Mature shop capacity</t>
  </si>
  <si>
    <t xml:space="preserve">Monthly Customer Growth Rate</t>
  </si>
  <si>
    <t xml:space="preserve">5.5% month-over-month</t>
  </si>
  <si>
    <t xml:space="preserve">REVENUE ASSUMPTIONS</t>
  </si>
  <si>
    <t xml:space="preserve">Average Ticket Price</t>
  </si>
  <si>
    <t xml:space="preserve">Coffee + pastry/food</t>
  </si>
  <si>
    <t xml:space="preserve">Days Open Per Month</t>
  </si>
  <si>
    <t xml:space="preserve">Closed 2 Sundays + holidays</t>
  </si>
  <si>
    <t xml:space="preserve">COST OF GOODS SOLD (% of Revenue)</t>
  </si>
  <si>
    <t xml:space="preserve">Coffee &amp; Tea</t>
  </si>
  <si>
    <t xml:space="preserve">Milk &amp; Dairy</t>
  </si>
  <si>
    <t xml:space="preserve">Food Items</t>
  </si>
  <si>
    <t xml:space="preserve">Cups &amp; Supplies</t>
  </si>
  <si>
    <t xml:space="preserve">MONTHLY OPERATING EXPENSES (Fixed)</t>
  </si>
  <si>
    <t xml:space="preserve">Rent</t>
  </si>
  <si>
    <t xml:space="preserve">Prime location, ~1200 sq ft</t>
  </si>
  <si>
    <t xml:space="preserve">Utilities</t>
  </si>
  <si>
    <t xml:space="preserve">Electric, gas, water</t>
  </si>
  <si>
    <t xml:space="preserve">Payroll</t>
  </si>
  <si>
    <t xml:space="preserve">3-4 staff: manager + baristas</t>
  </si>
  <si>
    <t xml:space="preserve">Payroll Taxes %</t>
  </si>
  <si>
    <t xml:space="preserve">FICA, unemployment, workers comp</t>
  </si>
  <si>
    <t xml:space="preserve">Marketing</t>
  </si>
  <si>
    <t xml:space="preserve">Social media, local ads</t>
  </si>
  <si>
    <t xml:space="preserve">Insurance</t>
  </si>
  <si>
    <t xml:space="preserve">Business &amp; liability</t>
  </si>
  <si>
    <t xml:space="preserve">Supplies &amp; Maintenance</t>
  </si>
  <si>
    <t xml:space="preserve">Cleaning, repairs</t>
  </si>
  <si>
    <t xml:space="preserve">POS &amp; Technology</t>
  </si>
  <si>
    <t xml:space="preserve">System, software, WiFi</t>
  </si>
  <si>
    <t xml:space="preserve">Accounting &amp; Professional</t>
  </si>
  <si>
    <t xml:space="preserve">Bookkeeping, accountant</t>
  </si>
  <si>
    <t xml:space="preserve">Miscellaneous</t>
  </si>
  <si>
    <t xml:space="preserve">Contingency</t>
  </si>
  <si>
    <t xml:space="preserve">Tax Rate (% of Profit)</t>
  </si>
  <si>
    <t xml:space="preserve">Federal + state combined</t>
  </si>
  <si>
    <t xml:space="preserve">STARTUP COSTS &amp; ONE-TIME INVESTMENTS</t>
  </si>
  <si>
    <t xml:space="preserve">REAL ESTATE &amp; BUILD-OUT</t>
  </si>
  <si>
    <t xml:space="preserve">Security Deposit (2 months rent)</t>
  </si>
  <si>
    <t xml:space="preserve">Leasehold Improvements</t>
  </si>
  <si>
    <t xml:space="preserve">Furniture &amp; Fixtures</t>
  </si>
  <si>
    <t xml:space="preserve">REAL ESTATE &amp; BUILD-OUT SUBTOTAL</t>
  </si>
  <si>
    <t xml:space="preserve">EQUIPMENT</t>
  </si>
  <si>
    <t xml:space="preserve">Espresso Machine (2-group commercial)</t>
  </si>
  <si>
    <t xml:space="preserve">Coffee Grinders</t>
  </si>
  <si>
    <t xml:space="preserve">Brewers &amp; Pour-Over Equipment</t>
  </si>
  <si>
    <t xml:space="preserve">Refrigeration &amp; Display</t>
  </si>
  <si>
    <t xml:space="preserve">Sinks &amp; Water Systems</t>
  </si>
  <si>
    <t xml:space="preserve">EQUIPMENT SUBTOTAL</t>
  </si>
  <si>
    <t xml:space="preserve">TECHNOLOGY &amp; POS</t>
  </si>
  <si>
    <t xml:space="preserve">POS System &amp; Hardware</t>
  </si>
  <si>
    <t xml:space="preserve">Printers &amp; Peripherals</t>
  </si>
  <si>
    <t xml:space="preserve">Internet &amp; WiFi</t>
  </si>
  <si>
    <t xml:space="preserve">TECHNOLOGY &amp; POS SUBTOTAL</t>
  </si>
  <si>
    <t xml:space="preserve">INITIAL INVENTORY</t>
  </si>
  <si>
    <t xml:space="preserve">Coffee Beans &amp; Tea</t>
  </si>
  <si>
    <t xml:space="preserve">Milk &amp; Dairy Products</t>
  </si>
  <si>
    <t xml:space="preserve">Food Items (pastries, etc)</t>
  </si>
  <si>
    <t xml:space="preserve">Cups, Lids, Straws, Napkins</t>
  </si>
  <si>
    <t xml:space="preserve">Syrups, Toppings, Supplies</t>
  </si>
  <si>
    <t xml:space="preserve">INITIAL INVENTORY SUBTOTAL</t>
  </si>
  <si>
    <t xml:space="preserve">BRANDING &amp; MARKETING</t>
  </si>
  <si>
    <t xml:space="preserve">Logo &amp; Brand Design</t>
  </si>
  <si>
    <t xml:space="preserve">Signage &amp; Exterior Branding</t>
  </si>
  <si>
    <t xml:space="preserve">Website Development</t>
  </si>
  <si>
    <t xml:space="preserve">Initial Marketing Campaign</t>
  </si>
  <si>
    <t xml:space="preserve">BRANDING &amp; MARKETING SUBTOTAL</t>
  </si>
  <si>
    <t xml:space="preserve">LEGAL &amp; ADMINISTRATIVE</t>
  </si>
  <si>
    <t xml:space="preserve">Business Formation &amp; LLC</t>
  </si>
  <si>
    <t xml:space="preserve">Permits &amp; Licenses</t>
  </si>
  <si>
    <t xml:space="preserve">Insurance Deposit (3 months)</t>
  </si>
  <si>
    <t xml:space="preserve">LEGAL &amp; ADMINISTRATIVE SUBTOTAL</t>
  </si>
  <si>
    <t xml:space="preserve">WORKING CAPITAL RESERVE</t>
  </si>
  <si>
    <t xml:space="preserve">Operating Reserve (3 months cover)</t>
  </si>
  <si>
    <t xml:space="preserve">WORKING CAPITAL RESERVE SUBTOTAL</t>
  </si>
  <si>
    <t xml:space="preserve">TOTAL STARTUP COSTS</t>
  </si>
  <si>
    <t xml:space="preserve">24-MONTH PROFIT &amp; LOSS PROJECTION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</si>
  <si>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</si>
  <si>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</si>
  <si>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</si>
  <si>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</si>
  <si>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</si>
  <si>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</si>
  <si>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</si>
  <si>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</si>
  <si>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</si>
  <si>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</si>
  <si>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</si>
  <si>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</si>
  <si>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</si>
  <si>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Y2M1</t>
  </si>
  <si>
    <t xml:space="preserve">Y2M2</t>
  </si>
  <si>
    <t xml:space="preserve">Y2M3</t>
  </si>
  <si>
    <t xml:space="preserve">Y2M4</t>
  </si>
  <si>
    <t xml:space="preserve">Y2M5</t>
  </si>
  <si>
    <t xml:space="preserve">Y2M6</t>
  </si>
  <si>
    <t xml:space="preserve">Y2M7</t>
  </si>
  <si>
    <t xml:space="preserve">Y2M8</t>
  </si>
  <si>
    <t xml:space="preserve">Y2M9</t>
  </si>
  <si>
    <t xml:space="preserve">Y2M10</t>
  </si>
  <si>
    <t xml:space="preserve">Y2M11</t>
  </si>
  <si>
    <t xml:space="preserve">Y2M12</t>
  </si>
  <si>
    <t xml:space="preserve">Daily Customers</t>
  </si>
  <si>
    <t xml:space="preserve">Days Open</t>
  </si>
  <si>
    <t xml:space="preserve">Avg Ticket Price</t>
  </si>
  <si>
    <t xml:space="preserve">REVENUE</t>
  </si>
  <si>
    <t xml:space="preserve">Total Revenue</t>
  </si>
  <si>
    <t xml:space="preserve">COST OF GOODS SOLD</t>
  </si>
  <si>
    <t xml:space="preserve">Total COGS</t>
  </si>
  <si>
    <t xml:space="preserve">GROSS PROFIT</t>
  </si>
  <si>
    <t xml:space="preserve">OPERATING EXPENSES</t>
  </si>
  <si>
    <t xml:space="preserve">Payroll Taxes</t>
  </si>
  <si>
    <t xml:space="preserve">Total Operating Expenses</t>
  </si>
  <si>
    <t xml:space="preserve">EBITDA</t>
  </si>
  <si>
    <t xml:space="preserve">Taxes (25% of profit if positive)</t>
  </si>
  <si>
    <t xml:space="preserve">NET INCOME / LOSS</t>
  </si>
  <si>
    <t xml:space="preserve">CUMULATIVE NET INCOME</t>
  </si>
  <si>
    <t xml:space="preserve">EXECUTIVE DASHBOARD</t>
  </si>
  <si>
    <t xml:space="preserve">KEY METRICS</t>
  </si>
  <si>
    <t xml:space="preserve">Total Startup Investment</t>
  </si>
  <si>
    <t xml:space="preserve">Year 1 Total Revenue</t>
  </si>
  <si>
    <t xml:space="preserve">Year 1 Net Income/(Loss)</t>
  </si>
  <si>
    <t xml:space="preserve">Months to Profitability</t>
  </si>
  <si>
    <t xml:space="preserve">Year 2 Projected Net Income</t>
  </si>
  <si>
    <t xml:space="preserve">Avg Monthly Revenue (M1-3)</t>
  </si>
  <si>
    <t xml:space="preserve">Avg Monthly Revenue (M10-12)</t>
  </si>
  <si>
    <t xml:space="preserve">Month 12 Net Income</t>
  </si>
  <si>
    <t xml:space="preserve">UNIT ECONOMICS ANALYSIS</t>
  </si>
  <si>
    <t xml:space="preserve">Item</t>
  </si>
  <si>
    <t xml:space="preserve">Unit Price</t>
  </si>
  <si>
    <t xml:space="preserve">COGS</t>
  </si>
  <si>
    <t xml:space="preserve">Margin $</t>
  </si>
  <si>
    <t xml:space="preserve">Margin %</t>
  </si>
  <si>
    <t xml:space="preserve">ESPRESSO-BASED DRINKS</t>
  </si>
  <si>
    <t xml:space="preserve">Espresso (Single)</t>
  </si>
  <si>
    <t xml:space="preserve">Americano (12oz)</t>
  </si>
  <si>
    <t xml:space="preserve">Latte (12oz)</t>
  </si>
  <si>
    <t xml:space="preserve">Cappuccino (12oz)</t>
  </si>
  <si>
    <t xml:space="preserve">Macchiato (12oz)</t>
  </si>
  <si>
    <t xml:space="preserve">Flat White (12oz)</t>
  </si>
  <si>
    <t xml:space="preserve">DRIP &amp; BATCH BREW</t>
  </si>
  <si>
    <t xml:space="preserve">Drip Coffee (12oz)</t>
  </si>
  <si>
    <t xml:space="preserve">Drip Coffee (16oz)</t>
  </si>
  <si>
    <t xml:space="preserve">Cold Brew</t>
  </si>
  <si>
    <t xml:space="preserve">FOOD &amp; PASTRIES</t>
  </si>
  <si>
    <t xml:space="preserve">Pastry/Croissant</t>
  </si>
  <si>
    <t xml:space="preserve">Muffin/Scone</t>
  </si>
  <si>
    <t xml:space="preserve">Sandwich</t>
  </si>
  <si>
    <t xml:space="preserve">Acai Bowl</t>
  </si>
  <si>
    <t xml:space="preserve">BREAK-EVEN ANALYSIS</t>
  </si>
  <si>
    <t xml:space="preserve">KEY ASSUMPTIONS</t>
  </si>
  <si>
    <t xml:space="preserve">Fixed Operating Expenses</t>
  </si>
  <si>
    <t xml:space="preserve">Total fixed costs per month</t>
  </si>
  <si>
    <t xml:space="preserve">Variable COGS % of Revenue</t>
  </si>
  <si>
    <t xml:space="preserve">Total COGS costs</t>
  </si>
  <si>
    <t xml:space="preserve">Contribution Margin %</t>
  </si>
  <si>
    <t xml:space="preserve">Remaining after variable costs</t>
  </si>
  <si>
    <t xml:space="preserve">Average customer spend</t>
  </si>
  <si>
    <t xml:space="preserve">BREAK-EVEN CALCULATIONS</t>
  </si>
  <si>
    <t xml:space="preserve">Break-Even Monthly Revenue</t>
  </si>
  <si>
    <t xml:space="preserve">Revenue to reach break-even</t>
  </si>
  <si>
    <t xml:space="preserve">Break-Even Daily Customers</t>
  </si>
  <si>
    <t xml:space="preserve">Customers needed per day</t>
  </si>
  <si>
    <t xml:space="preserve">Break-Even Month (Year 1)</t>
  </si>
  <si>
    <t xml:space="preserve">First profitable month</t>
  </si>
  <si>
    <t xml:space="preserve">24-MONTH CASH FLOW PROJECTION</t>
  </si>
  <si>
    <t xml:space="preserve">OPENING CASH BALANCE</t>
  </si>
  <si>
    <t xml:space="preserve">CASH INFLOWS</t>
  </si>
  <si>
    <t xml:space="preserve">Operating Revenue</t>
  </si>
  <si>
    <t xml:space="preserve">CASH OUTFLOWS</t>
  </si>
  <si>
    <t xml:space="preserve">Operating Expenses</t>
  </si>
  <si>
    <t xml:space="preserve">Income Taxes</t>
  </si>
  <si>
    <t xml:space="preserve">NET MONTHLY CASH FLOW</t>
  </si>
  <si>
    <t xml:space="preserve">CLOSING CASH BALANCE</t>
  </si>
  <si>
    <t xml:space="preserve">Cash Burn Warning</t>
  </si>
  <si>
    <t xml:space="preserve">SCENARIO ANALYSIS - 3 CASE PROJECTIONS</t>
  </si>
  <si>
    <t xml:space="preserve">SCENARIO ASSUMPTIONS</t>
  </si>
  <si>
    <t xml:space="preserve">Parameter</t>
  </si>
  <si>
    <t xml:space="preserve">Conservative</t>
  </si>
  <si>
    <t xml:space="preserve">Base Case</t>
  </si>
  <si>
    <t xml:space="preserve">Optimistic</t>
  </si>
  <si>
    <t xml:space="preserve">Customer Growth Rate</t>
  </si>
  <si>
    <t xml:space="preserve">Revenue Volume Multiplier</t>
  </si>
  <si>
    <t xml:space="preserve">COGS % of Revenue</t>
  </si>
  <si>
    <t xml:space="preserve">Operating Expense Multiplier</t>
  </si>
  <si>
    <t xml:space="preserve">Starting Daily Customers</t>
  </si>
  <si>
    <t xml:space="preserve">KEY METRICS COMPARISON</t>
  </si>
  <si>
    <t xml:space="preserve">Metric</t>
  </si>
  <si>
    <t xml:space="preserve">Year 1 Revenue</t>
  </si>
  <si>
    <t xml:space="preserve">Lower volume</t>
  </si>
  <si>
    <t xml:space="preserve">Realistic base case</t>
  </si>
  <si>
    <t xml:space="preserve">Strong growth</t>
  </si>
  <si>
    <t xml:space="preserve">Year 1 Net Income</t>
  </si>
  <si>
    <t xml:space="preserve">Longer path to profit</t>
  </si>
  <si>
    <t xml:space="preserve">Month 8-10 target</t>
  </si>
  <si>
    <t xml:space="preserve">Faster growth</t>
  </si>
  <si>
    <t xml:space="preserve">Extended timeline</t>
  </si>
  <si>
    <t xml:space="preserve">8-10 months</t>
  </si>
  <si>
    <t xml:space="preserve">Earlier breakeven</t>
  </si>
  <si>
    <t xml:space="preserve">Year 2 Net Income</t>
  </si>
  <si>
    <t xml:space="preserve">Moderate profitability</t>
  </si>
  <si>
    <t xml:space="preserve">Healthy growth</t>
  </si>
  <si>
    <t xml:space="preserve">Strong profitability</t>
  </si>
  <si>
    <t xml:space="preserve">Capital Needed</t>
  </si>
  <si>
    <t xml:space="preserve">Minimal buffer</t>
  </si>
  <si>
    <t xml:space="preserve">+3 months reserve</t>
  </si>
  <si>
    <t xml:space="preserve">Less capital needed</t>
  </si>
  <si>
    <t xml:space="preserve">SCENARIO INTERPRETATION</t>
  </si>
  <si>
    <t xml:space="preserve">CONSERVATIVE</t>
  </si>
  <si>
    <t xml:space="preserve">Lower customer adoption, higher costs. Still reaches profitability but extends timeline.</t>
  </si>
  <si>
    <t xml:space="preserve">BASE CASE</t>
  </si>
  <si>
    <t xml:space="preserve">Realistic assumptions based on industry benchmarks. Shows profitability by Month 8-10.</t>
  </si>
  <si>
    <t xml:space="preserve">OPTIMISTIC</t>
  </si>
  <si>
    <t xml:space="preserve">Strong execution and customer growth. Fast path to profitability with efficient operations.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</si>
</sst>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.00"/>
    <numFmt numFmtId="167" formatCode="\$#,##0"/>
    <numFmt numFmtId="168" formatCode="0"/>
    <numFmt numFmtId="169" formatCode="\$#,##0;&quot;($&quot;#,##0\);\-"/>
    <numFmt numFmtId="170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4612A"/>
        <bgColor rgb="FF993300"/>
      </patternFill>
    </fill>
    <fill>
      <patternFill patternType="solid">
        <fgColor rgb="FF5C7A4E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0E6D8"/>
        <bgColor rgb="FFFFF0E8"/>
      </patternFill>
    </fill>
    <fill>
      <patternFill patternType="solid">
        <fgColor rgb="FFE8F4F8"/>
        <bgColor rgb="FFF0F8E8"/>
      </patternFill>
    </fill>
    <fill>
      <patternFill patternType="solid">
        <fgColor rgb="FFFFF0E8"/>
        <bgColor rgb="FFF0F8E8"/>
      </patternFill>
    </fill>
    <fill>
      <patternFill patternType="solid">
        <fgColor rgb="FFF0F8E8"/>
        <bgColor rgb="FFE8F4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C7A4E"/>
      <rgbColor rgb="FF9999FF"/>
      <rgbColor rgb="FF993366"/>
      <rgbColor rgb="FFF0F8E8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6D8"/>
      <rgbColor rgb="FFFFF0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612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5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true" outlineLevel="0" collapsed="false">
      <c r="A5" s="1" t="s">
        <v>3</v>
      </c>
      <c r="B5" s="4" t="n">
        <v>100</v>
      </c>
      <c r="C5" s="1" t="s">
        <v>4</v>
      </c>
    </row>
    <row r="6" customFormat="false" ht="15" hidden="false" customHeight="true" outlineLevel="0" collapsed="false">
      <c r="A6" s="1" t="s">
        <v>5</v>
      </c>
      <c r="B6" s="4" t="n">
        <v>220</v>
      </c>
      <c r="C6" s="1" t="s">
        <v>6</v>
      </c>
    </row>
    <row r="7" customFormat="false" ht="15" hidden="false" customHeight="true" outlineLevel="0" collapsed="false">
      <c r="A7" s="1" t="s">
        <v>7</v>
      </c>
      <c r="B7" s="5" t="n">
        <v>0.055</v>
      </c>
      <c r="C7" s="1" t="s">
        <v>8</v>
      </c>
    </row>
    <row r="9" customFormat="false" ht="15" hidden="false" customHeight="true" outlineLevel="0" collapsed="false">
      <c r="A9" s="3" t="s">
        <v>9</v>
      </c>
      <c r="B9" s="3"/>
      <c r="C9" s="3"/>
    </row>
    <row r="10" customFormat="false" ht="15" hidden="false" customHeight="true" outlineLevel="0" collapsed="false">
      <c r="A10" s="1" t="s">
        <v>10</v>
      </c>
      <c r="B10" s="6" t="n">
        <v>7.5</v>
      </c>
      <c r="C10" s="1" t="s">
        <v>11</v>
      </c>
    </row>
    <row r="11" customFormat="false" ht="15" hidden="false" customHeight="true" outlineLevel="0" collapsed="false">
      <c r="A11" s="1" t="s">
        <v>12</v>
      </c>
      <c r="B11" s="4" t="n">
        <v>22</v>
      </c>
      <c r="C11" s="1" t="s">
        <v>13</v>
      </c>
    </row>
    <row r="13" customFormat="false" ht="15" hidden="false" customHeight="true" outlineLevel="0" collapsed="false">
      <c r="A13" s="3" t="s">
        <v>14</v>
      </c>
      <c r="B13" s="3"/>
      <c r="C13" s="3"/>
    </row>
    <row r="14" customFormat="false" ht="15" hidden="false" customHeight="true" outlineLevel="0" collapsed="false">
      <c r="A14" s="1" t="s">
        <v>15</v>
      </c>
      <c r="B14" s="5" t="n">
        <v>0.09</v>
      </c>
    </row>
    <row r="15" customFormat="false" ht="15" hidden="false" customHeight="true" outlineLevel="0" collapsed="false">
      <c r="A15" s="1" t="s">
        <v>16</v>
      </c>
      <c r="B15" s="5" t="n">
        <v>0.06</v>
      </c>
    </row>
    <row r="16" customFormat="false" ht="15" hidden="false" customHeight="true" outlineLevel="0" collapsed="false">
      <c r="A16" s="1" t="s">
        <v>17</v>
      </c>
      <c r="B16" s="5" t="n">
        <v>0.25</v>
      </c>
    </row>
    <row r="17" customFormat="false" ht="15" hidden="false" customHeight="true" outlineLevel="0" collapsed="false">
      <c r="A17" s="1" t="s">
        <v>18</v>
      </c>
      <c r="B17" s="5" t="n">
        <v>0.03</v>
      </c>
    </row>
    <row r="19" customFormat="false" ht="15" hidden="false" customHeight="true" outlineLevel="0" collapsed="false">
      <c r="A19" s="3" t="s">
        <v>19</v>
      </c>
      <c r="B19" s="3"/>
      <c r="C19" s="3"/>
    </row>
    <row r="20" customFormat="false" ht="15" hidden="false" customHeight="true" outlineLevel="0" collapsed="false">
      <c r="A20" s="1" t="s">
        <v>20</v>
      </c>
      <c r="B20" s="7" t="n">
        <v>5000</v>
      </c>
      <c r="C20" s="1" t="s">
        <v>21</v>
      </c>
    </row>
    <row r="21" customFormat="false" ht="15" hidden="false" customHeight="true" outlineLevel="0" collapsed="false">
      <c r="A21" s="1" t="s">
        <v>22</v>
      </c>
      <c r="B21" s="7" t="n">
        <v>450</v>
      </c>
      <c r="C21" s="1" t="s">
        <v>23</v>
      </c>
    </row>
    <row r="22" customFormat="false" ht="15" hidden="false" customHeight="true" outlineLevel="0" collapsed="false">
      <c r="A22" s="1" t="s">
        <v>24</v>
      </c>
      <c r="B22" s="7" t="n">
        <v>11500</v>
      </c>
      <c r="C22" s="1" t="s">
        <v>25</v>
      </c>
    </row>
    <row r="23" customFormat="false" ht="15" hidden="false" customHeight="true" outlineLevel="0" collapsed="false">
      <c r="A23" s="1" t="s">
        <v>26</v>
      </c>
      <c r="B23" s="5" t="n">
        <v>0.13</v>
      </c>
      <c r="C23" s="1" t="s">
        <v>27</v>
      </c>
    </row>
    <row r="24" customFormat="false" ht="15" hidden="false" customHeight="true" outlineLevel="0" collapsed="false">
      <c r="A24" s="1" t="s">
        <v>28</v>
      </c>
      <c r="B24" s="7" t="n">
        <v>800</v>
      </c>
      <c r="C24" s="1" t="s">
        <v>29</v>
      </c>
    </row>
    <row r="25" customFormat="false" ht="15" hidden="false" customHeight="true" outlineLevel="0" collapsed="false">
      <c r="A25" s="1" t="s">
        <v>30</v>
      </c>
      <c r="B25" s="7" t="n">
        <v>600</v>
      </c>
      <c r="C25" s="1" t="s">
        <v>31</v>
      </c>
    </row>
    <row r="26" customFormat="false" ht="15" hidden="false" customHeight="true" outlineLevel="0" collapsed="false">
      <c r="A26" s="1" t="s">
        <v>32</v>
      </c>
      <c r="B26" s="7" t="n">
        <v>400</v>
      </c>
      <c r="C26" s="1" t="s">
        <v>33</v>
      </c>
    </row>
    <row r="27" customFormat="false" ht="15" hidden="false" customHeight="true" outlineLevel="0" collapsed="false">
      <c r="A27" s="1" t="s">
        <v>34</v>
      </c>
      <c r="B27" s="7" t="n">
        <v>300</v>
      </c>
      <c r="C27" s="1" t="s">
        <v>35</v>
      </c>
    </row>
    <row r="28" customFormat="false" ht="15" hidden="false" customHeight="true" outlineLevel="0" collapsed="false">
      <c r="A28" s="1" t="s">
        <v>36</v>
      </c>
      <c r="B28" s="7" t="n">
        <v>250</v>
      </c>
      <c r="C28" s="1" t="s">
        <v>37</v>
      </c>
    </row>
    <row r="29" customFormat="false" ht="15" hidden="false" customHeight="true" outlineLevel="0" collapsed="false">
      <c r="A29" s="1" t="s">
        <v>38</v>
      </c>
      <c r="B29" s="7" t="n">
        <v>300</v>
      </c>
      <c r="C29" s="1" t="s">
        <v>39</v>
      </c>
    </row>
    <row r="31" customFormat="false" ht="15" hidden="false" customHeight="true" outlineLevel="0" collapsed="false">
      <c r="A31" s="1" t="s">
        <v>40</v>
      </c>
      <c r="B31" s="5" t="n">
        <v>0.25</v>
      </c>
      <c r="C31" s="1" t="s">
        <v>41</v>
      </c>
    </row>
  </sheetData>
  <mergeCells count="5">
    <mergeCell ref="A2:C2"/>
    <mergeCell ref="A4:C4"/>
    <mergeCell ref="A9:C9"/>
    <mergeCell ref="A13:C1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8" t="s">
        <v>42</v>
      </c>
      <c r="B2" s="8"/>
      <c r="C2" s="8"/>
    </row>
    <row r="4" customFormat="false" ht="15" hidden="false" customHeight="true" outlineLevel="0" collapsed="false">
      <c r="A4" s="9" t="s">
        <v>43</v>
      </c>
    </row>
    <row r="5" customFormat="false" ht="15" hidden="false" customHeight="true" outlineLevel="0" collapsed="false">
      <c r="A5" s="1" t="s">
        <v>44</v>
      </c>
      <c r="B5" s="7" t="n">
        <v>10000</v>
      </c>
    </row>
    <row r="6" customFormat="false" ht="15" hidden="false" customHeight="true" outlineLevel="0" collapsed="false">
      <c r="A6" s="1" t="s">
        <v>45</v>
      </c>
      <c r="B6" s="7" t="n">
        <v>35000</v>
      </c>
    </row>
    <row r="7" customFormat="false" ht="15" hidden="false" customHeight="true" outlineLevel="0" collapsed="false">
      <c r="A7" s="1" t="s">
        <v>46</v>
      </c>
      <c r="B7" s="7" t="n">
        <v>8000</v>
      </c>
    </row>
    <row r="8" customFormat="false" ht="15" hidden="false" customHeight="true" outlineLevel="0" collapsed="false">
      <c r="A8" s="10" t="s">
        <v>47</v>
      </c>
      <c r="B8" s="11" t="n">
        <f aca="false">SUM(B5:B7)</f>
        <v>53000</v>
      </c>
    </row>
    <row r="10" customFormat="false" ht="15" hidden="false" customHeight="true" outlineLevel="0" collapsed="false">
      <c r="A10" s="9" t="s">
        <v>48</v>
      </c>
    </row>
    <row r="11" customFormat="false" ht="15" hidden="false" customHeight="true" outlineLevel="0" collapsed="false">
      <c r="A11" s="1" t="s">
        <v>49</v>
      </c>
      <c r="B11" s="7" t="n">
        <v>6500</v>
      </c>
    </row>
    <row r="12" customFormat="false" ht="15" hidden="false" customHeight="true" outlineLevel="0" collapsed="false">
      <c r="A12" s="1" t="s">
        <v>50</v>
      </c>
      <c r="B12" s="7" t="n">
        <v>3500</v>
      </c>
    </row>
    <row r="13" customFormat="false" ht="15" hidden="false" customHeight="true" outlineLevel="0" collapsed="false">
      <c r="A13" s="1" t="s">
        <v>51</v>
      </c>
      <c r="B13" s="7" t="n">
        <v>2000</v>
      </c>
    </row>
    <row r="14" customFormat="false" ht="15" hidden="false" customHeight="true" outlineLevel="0" collapsed="false">
      <c r="A14" s="1" t="s">
        <v>52</v>
      </c>
      <c r="B14" s="7" t="n">
        <v>4500</v>
      </c>
    </row>
    <row r="15" customFormat="false" ht="15" hidden="false" customHeight="true" outlineLevel="0" collapsed="false">
      <c r="A15" s="1" t="s">
        <v>53</v>
      </c>
      <c r="B15" s="7" t="n">
        <v>2000</v>
      </c>
    </row>
    <row r="16" customFormat="false" ht="15" hidden="false" customHeight="true" outlineLevel="0" collapsed="false">
      <c r="A16" s="10" t="s">
        <v>54</v>
      </c>
      <c r="B16" s="11" t="n">
        <f aca="false">SUM(B11:B15)</f>
        <v>18500</v>
      </c>
    </row>
    <row r="18" customFormat="false" ht="15" hidden="false" customHeight="true" outlineLevel="0" collapsed="false">
      <c r="A18" s="9" t="s">
        <v>55</v>
      </c>
    </row>
    <row r="19" customFormat="false" ht="15" hidden="false" customHeight="true" outlineLevel="0" collapsed="false">
      <c r="A19" s="1" t="s">
        <v>56</v>
      </c>
      <c r="B19" s="7" t="n">
        <v>2500</v>
      </c>
    </row>
    <row r="20" customFormat="false" ht="15" hidden="false" customHeight="true" outlineLevel="0" collapsed="false">
      <c r="A20" s="1" t="s">
        <v>57</v>
      </c>
      <c r="B20" s="7" t="n">
        <v>800</v>
      </c>
    </row>
    <row r="21" customFormat="false" ht="15" hidden="false" customHeight="true" outlineLevel="0" collapsed="false">
      <c r="A21" s="1" t="s">
        <v>58</v>
      </c>
      <c r="B21" s="7" t="n">
        <v>500</v>
      </c>
    </row>
    <row r="22" customFormat="false" ht="15" hidden="false" customHeight="true" outlineLevel="0" collapsed="false">
      <c r="A22" s="10" t="s">
        <v>59</v>
      </c>
      <c r="B22" s="11" t="n">
        <f aca="false">SUM(B19:B21)</f>
        <v>3800</v>
      </c>
    </row>
    <row r="24" customFormat="false" ht="15" hidden="false" customHeight="true" outlineLevel="0" collapsed="false">
      <c r="A24" s="9" t="s">
        <v>60</v>
      </c>
    </row>
    <row r="25" customFormat="false" ht="15" hidden="false" customHeight="true" outlineLevel="0" collapsed="false">
      <c r="A25" s="1" t="s">
        <v>61</v>
      </c>
      <c r="B25" s="7" t="n">
        <v>3500</v>
      </c>
    </row>
    <row r="26" customFormat="false" ht="15" hidden="false" customHeight="true" outlineLevel="0" collapsed="false">
      <c r="A26" s="1" t="s">
        <v>62</v>
      </c>
      <c r="B26" s="7" t="n">
        <v>1200</v>
      </c>
    </row>
    <row r="27" customFormat="false" ht="15" hidden="false" customHeight="true" outlineLevel="0" collapsed="false">
      <c r="A27" s="1" t="s">
        <v>63</v>
      </c>
      <c r="B27" s="7" t="n">
        <v>2500</v>
      </c>
    </row>
    <row r="28" customFormat="false" ht="15" hidden="false" customHeight="true" outlineLevel="0" collapsed="false">
      <c r="A28" s="1" t="s">
        <v>64</v>
      </c>
      <c r="B28" s="7" t="n">
        <v>1800</v>
      </c>
    </row>
    <row r="29" customFormat="false" ht="15" hidden="false" customHeight="true" outlineLevel="0" collapsed="false">
      <c r="A29" s="1" t="s">
        <v>65</v>
      </c>
      <c r="B29" s="7" t="n">
        <v>800</v>
      </c>
    </row>
    <row r="30" customFormat="false" ht="15" hidden="false" customHeight="true" outlineLevel="0" collapsed="false">
      <c r="A30" s="10" t="s">
        <v>66</v>
      </c>
      <c r="B30" s="11" t="n">
        <f aca="false">SUM(B25:B29)</f>
        <v>9800</v>
      </c>
    </row>
    <row r="32" customFormat="false" ht="15" hidden="false" customHeight="true" outlineLevel="0" collapsed="false">
      <c r="A32" s="9" t="s">
        <v>67</v>
      </c>
    </row>
    <row r="33" customFormat="false" ht="15" hidden="false" customHeight="true" outlineLevel="0" collapsed="false">
      <c r="A33" s="1" t="s">
        <v>68</v>
      </c>
      <c r="B33" s="7" t="n">
        <v>1500</v>
      </c>
    </row>
    <row r="34" customFormat="false" ht="15" hidden="false" customHeight="true" outlineLevel="0" collapsed="false">
      <c r="A34" s="1" t="s">
        <v>69</v>
      </c>
      <c r="B34" s="7" t="n">
        <v>3000</v>
      </c>
    </row>
    <row r="35" customFormat="false" ht="15" hidden="false" customHeight="true" outlineLevel="0" collapsed="false">
      <c r="A35" s="1" t="s">
        <v>70</v>
      </c>
      <c r="B35" s="7" t="n">
        <v>2500</v>
      </c>
    </row>
    <row r="36" customFormat="false" ht="15" hidden="false" customHeight="true" outlineLevel="0" collapsed="false">
      <c r="A36" s="1" t="s">
        <v>71</v>
      </c>
      <c r="B36" s="7" t="n">
        <v>2500</v>
      </c>
    </row>
    <row r="37" customFormat="false" ht="15" hidden="false" customHeight="true" outlineLevel="0" collapsed="false">
      <c r="A37" s="10" t="s">
        <v>72</v>
      </c>
      <c r="B37" s="11" t="n">
        <f aca="false">SUM(B33:B36)</f>
        <v>9500</v>
      </c>
    </row>
    <row r="39" customFormat="false" ht="15" hidden="false" customHeight="true" outlineLevel="0" collapsed="false">
      <c r="A39" s="9" t="s">
        <v>73</v>
      </c>
    </row>
    <row r="40" customFormat="false" ht="15" hidden="false" customHeight="true" outlineLevel="0" collapsed="false">
      <c r="A40" s="1" t="s">
        <v>74</v>
      </c>
      <c r="B40" s="7" t="n">
        <v>800</v>
      </c>
    </row>
    <row r="41" customFormat="false" ht="15" hidden="false" customHeight="true" outlineLevel="0" collapsed="false">
      <c r="A41" s="1" t="s">
        <v>75</v>
      </c>
      <c r="B41" s="7" t="n">
        <v>2000</v>
      </c>
    </row>
    <row r="42" customFormat="false" ht="15" hidden="false" customHeight="true" outlineLevel="0" collapsed="false">
      <c r="A42" s="1" t="s">
        <v>76</v>
      </c>
      <c r="B42" s="7" t="n">
        <v>1800</v>
      </c>
    </row>
    <row r="43" customFormat="false" ht="15" hidden="false" customHeight="true" outlineLevel="0" collapsed="false">
      <c r="A43" s="10" t="s">
        <v>77</v>
      </c>
      <c r="B43" s="11" t="n">
        <f aca="false">SUM(B40:B42)</f>
        <v>4600</v>
      </c>
    </row>
    <row r="45" customFormat="false" ht="15" hidden="false" customHeight="true" outlineLevel="0" collapsed="false">
      <c r="A45" s="9" t="s">
        <v>78</v>
      </c>
    </row>
    <row r="46" customFormat="false" ht="15" hidden="false" customHeight="true" outlineLevel="0" collapsed="false">
      <c r="A46" s="1" t="s">
        <v>79</v>
      </c>
      <c r="B46" s="7" t="n">
        <v>25000</v>
      </c>
    </row>
    <row r="47" customFormat="false" ht="15" hidden="false" customHeight="true" outlineLevel="0" collapsed="false">
      <c r="A47" s="10" t="s">
        <v>80</v>
      </c>
      <c r="B47" s="11" t="n">
        <f aca="false">SUM(B46)</f>
        <v>25000</v>
      </c>
    </row>
    <row r="49" customFormat="false" ht="15" hidden="false" customHeight="true" outlineLevel="0" collapsed="false">
      <c r="A49" s="12" t="s">
        <v>81</v>
      </c>
      <c r="B49" s="13" t="n">
        <f aca="false">SUM(B8+B16+B22+B30+B37+B43+B47)</f>
        <v>124200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5" min="2" style="1" width="10"/>
  </cols>
  <sheetData>
    <row r="1" customFormat="false" ht="17.25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customFormat="false" ht="15" hidden="false" customHeight="true" outlineLevel="0" collapsed="false">
      <c r="A2" s="8" t="s">
        <v>82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customFormat="false" ht="15" hidden="false" customHeight="true" outlineLevel="0" collapsed="false">
      <c r="A3" s="15" t="s">
        <v>83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95</v>
      </c>
      <c r="N3" s="16" t="s">
        <v>96</v>
      </c>
      <c r="O3" s="16" t="s">
        <v>97</v>
      </c>
      <c r="P3" s="16" t="s">
        <v>98</v>
      </c>
      <c r="Q3" s="16" t="s">
        <v>99</v>
      </c>
      <c r="R3" s="16" t="s">
        <v>100</v>
      </c>
      <c r="S3" s="16" t="s">
        <v>101</v>
      </c>
      <c r="T3" s="16" t="s">
        <v>102</v>
      </c>
      <c r="U3" s="16" t="s">
        <v>103</v>
      </c>
      <c r="V3" s="16" t="s">
        <v>104</v>
      </c>
      <c r="W3" s="16" t="s">
        <v>105</v>
      </c>
      <c r="X3" s="16" t="s">
        <v>106</v>
      </c>
      <c r="Y3" s="16" t="s">
        <v>107</v>
      </c>
    </row>
    <row r="4" customFormat="false" ht="15" hidden="false" customHeight="true" outlineLevel="0" collapsed="false">
      <c r="A4" s="1" t="s">
        <v>108</v>
      </c>
      <c r="B4" s="17" t="n">
        <f aca="false">Assumptions!B5</f>
        <v>100</v>
      </c>
      <c r="C4" s="17" t="n">
        <f aca="false">MIN(B4*(1+Assumptions!B7), Assumptions!B6)</f>
        <v>105.5</v>
      </c>
      <c r="D4" s="17" t="n">
        <f aca="false">MIN(C4*(1+Assumptions!B7), Assumptions!B6)</f>
        <v>111.3025</v>
      </c>
      <c r="E4" s="17" t="n">
        <f aca="false">MIN(D4*(1+Assumptions!B7), Assumptions!B6)</f>
        <v>117.4241375</v>
      </c>
      <c r="F4" s="17" t="n">
        <f aca="false">MIN(E4*(1+Assumptions!B7), Assumptions!B6)</f>
        <v>123.8824650625</v>
      </c>
      <c r="G4" s="17" t="n">
        <f aca="false">MIN(F4*(1+Assumptions!B7), Assumptions!B6)</f>
        <v>130.696000640937</v>
      </c>
      <c r="H4" s="17" t="n">
        <f aca="false">MIN(G4*(1+Assumptions!B7), Assumptions!B6)</f>
        <v>137.884280676189</v>
      </c>
      <c r="I4" s="17" t="n">
        <f aca="false">MIN(H4*(1+Assumptions!B7), Assumptions!B6)</f>
        <v>145.467916113379</v>
      </c>
      <c r="J4" s="17" t="n">
        <f aca="false">MIN(I4*(1+Assumptions!B7), Assumptions!B6)</f>
        <v>153.468651499615</v>
      </c>
      <c r="K4" s="17" t="n">
        <f aca="false">MIN(J4*(1+Assumptions!B7), Assumptions!B6)</f>
        <v>161.909427332094</v>
      </c>
      <c r="L4" s="17" t="n">
        <f aca="false">MIN(K4*(1+Assumptions!B7), Assumptions!B6)</f>
        <v>170.814445835359</v>
      </c>
      <c r="M4" s="17" t="n">
        <f aca="false">MIN(L4*(1+Assumptions!B7), Assumptions!B6)</f>
        <v>180.209240356304</v>
      </c>
      <c r="N4" s="17" t="n">
        <f aca="false">MIN(M4*(1+Assumptions!B7), Assumptions!B6)</f>
        <v>190.120748575901</v>
      </c>
      <c r="O4" s="17" t="n">
        <f aca="false">MIN(N4*(1+Assumptions!B7), Assumptions!B6)</f>
        <v>200.577389747575</v>
      </c>
      <c r="P4" s="17" t="n">
        <f aca="false">MIN(O4*(1+Assumptions!B7), Assumptions!B6)</f>
        <v>211.609146183692</v>
      </c>
      <c r="Q4" s="17" t="n">
        <f aca="false">MIN(P4*(1+Assumptions!B7), Assumptions!B6)</f>
        <v>220</v>
      </c>
      <c r="R4" s="17" t="n">
        <f aca="false">MIN(Q4*(1+Assumptions!B7), Assumptions!B6)</f>
        <v>220</v>
      </c>
      <c r="S4" s="17" t="n">
        <f aca="false">MIN(R4*(1+Assumptions!B7), Assumptions!B6)</f>
        <v>220</v>
      </c>
      <c r="T4" s="17" t="n">
        <f aca="false">MIN(S4*(1+Assumptions!B7), Assumptions!B6)</f>
        <v>220</v>
      </c>
      <c r="U4" s="17" t="n">
        <f aca="false">MIN(T4*(1+Assumptions!B7), Assumptions!B6)</f>
        <v>220</v>
      </c>
      <c r="V4" s="17" t="n">
        <f aca="false">MIN(U4*(1+Assumptions!B7), Assumptions!B6)</f>
        <v>220</v>
      </c>
      <c r="W4" s="17" t="n">
        <f aca="false">MIN(V4*(1+Assumptions!B7), Assumptions!B6)</f>
        <v>220</v>
      </c>
      <c r="X4" s="17" t="n">
        <f aca="false">MIN(W4*(1+Assumptions!B7), Assumptions!B6)</f>
        <v>220</v>
      </c>
      <c r="Y4" s="17" t="n">
        <f aca="false">MIN(X4*(1+Assumptions!B7), Assumptions!B6)</f>
        <v>220</v>
      </c>
    </row>
    <row r="5" customFormat="false" ht="15" hidden="false" customHeight="true" outlineLevel="0" collapsed="false">
      <c r="A5" s="1" t="s">
        <v>109</v>
      </c>
      <c r="B5" s="17" t="n">
        <f aca="false">Assumptions!B11</f>
        <v>22</v>
      </c>
      <c r="C5" s="17" t="n">
        <f aca="false">Assumptions!B11</f>
        <v>22</v>
      </c>
      <c r="D5" s="17" t="n">
        <f aca="false">Assumptions!B11</f>
        <v>22</v>
      </c>
      <c r="E5" s="17" t="n">
        <f aca="false">Assumptions!B11</f>
        <v>22</v>
      </c>
      <c r="F5" s="17" t="n">
        <f aca="false">Assumptions!B11</f>
        <v>22</v>
      </c>
      <c r="G5" s="17" t="n">
        <f aca="false">Assumptions!B11</f>
        <v>22</v>
      </c>
      <c r="H5" s="17" t="n">
        <f aca="false">Assumptions!B11</f>
        <v>22</v>
      </c>
      <c r="I5" s="17" t="n">
        <f aca="false">Assumptions!B11</f>
        <v>22</v>
      </c>
      <c r="J5" s="17" t="n">
        <f aca="false">Assumptions!B11</f>
        <v>22</v>
      </c>
      <c r="K5" s="17" t="n">
        <f aca="false">Assumptions!B11</f>
        <v>22</v>
      </c>
      <c r="L5" s="17" t="n">
        <f aca="false">Assumptions!B11</f>
        <v>22</v>
      </c>
      <c r="M5" s="17" t="n">
        <f aca="false">Assumptions!B11</f>
        <v>22</v>
      </c>
      <c r="N5" s="17" t="n">
        <f aca="false">Assumptions!B11</f>
        <v>22</v>
      </c>
      <c r="O5" s="17" t="n">
        <f aca="false">Assumptions!B11</f>
        <v>22</v>
      </c>
      <c r="P5" s="17" t="n">
        <f aca="false">Assumptions!B11</f>
        <v>22</v>
      </c>
      <c r="Q5" s="17" t="n">
        <f aca="false">Assumptions!B11</f>
        <v>22</v>
      </c>
      <c r="R5" s="17" t="n">
        <f aca="false">Assumptions!B11</f>
        <v>22</v>
      </c>
      <c r="S5" s="17" t="n">
        <f aca="false">Assumptions!B11</f>
        <v>22</v>
      </c>
      <c r="T5" s="17" t="n">
        <f aca="false">Assumptions!B11</f>
        <v>22</v>
      </c>
      <c r="U5" s="17" t="n">
        <f aca="false">Assumptions!B11</f>
        <v>22</v>
      </c>
      <c r="V5" s="17" t="n">
        <f aca="false">Assumptions!B11</f>
        <v>22</v>
      </c>
      <c r="W5" s="17" t="n">
        <f aca="false">Assumptions!B11</f>
        <v>22</v>
      </c>
      <c r="X5" s="17" t="n">
        <f aca="false">Assumptions!B11</f>
        <v>22</v>
      </c>
      <c r="Y5" s="17" t="n">
        <f aca="false">Assumptions!B11</f>
        <v>22</v>
      </c>
    </row>
    <row r="6" customFormat="false" ht="15" hidden="false" customHeight="true" outlineLevel="0" collapsed="false">
      <c r="A6" s="1" t="s">
        <v>110</v>
      </c>
      <c r="B6" s="18" t="n">
        <f aca="false">Assumptions!B10</f>
        <v>7.5</v>
      </c>
      <c r="C6" s="18" t="n">
        <f aca="false">Assumptions!B10</f>
        <v>7.5</v>
      </c>
      <c r="D6" s="18" t="n">
        <f aca="false">Assumptions!B10</f>
        <v>7.5</v>
      </c>
      <c r="E6" s="18" t="n">
        <f aca="false">Assumptions!B10</f>
        <v>7.5</v>
      </c>
      <c r="F6" s="18" t="n">
        <f aca="false">Assumptions!B10</f>
        <v>7.5</v>
      </c>
      <c r="G6" s="18" t="n">
        <f aca="false">Assumptions!B10</f>
        <v>7.5</v>
      </c>
      <c r="H6" s="18" t="n">
        <f aca="false">Assumptions!B10</f>
        <v>7.5</v>
      </c>
      <c r="I6" s="18" t="n">
        <f aca="false">Assumptions!B10</f>
        <v>7.5</v>
      </c>
      <c r="J6" s="18" t="n">
        <f aca="false">Assumptions!B10</f>
        <v>7.5</v>
      </c>
      <c r="K6" s="18" t="n">
        <f aca="false">Assumptions!B10</f>
        <v>7.5</v>
      </c>
      <c r="L6" s="18" t="n">
        <f aca="false">Assumptions!B10</f>
        <v>7.5</v>
      </c>
      <c r="M6" s="18" t="n">
        <f aca="false">Assumptions!B10</f>
        <v>7.5</v>
      </c>
      <c r="N6" s="18" t="n">
        <f aca="false">Assumptions!B10</f>
        <v>7.5</v>
      </c>
      <c r="O6" s="18" t="n">
        <f aca="false">Assumptions!B10</f>
        <v>7.5</v>
      </c>
      <c r="P6" s="18" t="n">
        <f aca="false">Assumptions!B10</f>
        <v>7.5</v>
      </c>
      <c r="Q6" s="18" t="n">
        <f aca="false">Assumptions!B10</f>
        <v>7.5</v>
      </c>
      <c r="R6" s="18" t="n">
        <f aca="false">Assumptions!B10</f>
        <v>7.5</v>
      </c>
      <c r="S6" s="18" t="n">
        <f aca="false">Assumptions!B10</f>
        <v>7.5</v>
      </c>
      <c r="T6" s="18" t="n">
        <f aca="false">Assumptions!B10</f>
        <v>7.5</v>
      </c>
      <c r="U6" s="18" t="n">
        <f aca="false">Assumptions!B10</f>
        <v>7.5</v>
      </c>
      <c r="V6" s="18" t="n">
        <f aca="false">Assumptions!B10</f>
        <v>7.5</v>
      </c>
      <c r="W6" s="18" t="n">
        <f aca="false">Assumptions!B10</f>
        <v>7.5</v>
      </c>
      <c r="X6" s="18" t="n">
        <f aca="false">Assumptions!B10</f>
        <v>7.5</v>
      </c>
      <c r="Y6" s="18" t="n">
        <f aca="false">Assumptions!B10</f>
        <v>7.5</v>
      </c>
    </row>
    <row r="8" customFormat="false" ht="15" hidden="false" customHeight="true" outlineLevel="0" collapsed="false">
      <c r="A8" s="19" t="s">
        <v>111</v>
      </c>
    </row>
    <row r="9" customFormat="false" ht="15" hidden="false" customHeight="true" outlineLevel="0" collapsed="false">
      <c r="A9" s="1" t="s">
        <v>112</v>
      </c>
      <c r="B9" s="20" t="n">
        <f aca="false">B4*B5*B6</f>
        <v>16500</v>
      </c>
      <c r="C9" s="20" t="n">
        <f aca="false">C4*C5*C6</f>
        <v>17407.5</v>
      </c>
      <c r="D9" s="20" t="n">
        <f aca="false">D4*D5*D6</f>
        <v>18364.9125</v>
      </c>
      <c r="E9" s="20" t="n">
        <f aca="false">E4*E5*E6</f>
        <v>19374.9826875</v>
      </c>
      <c r="F9" s="20" t="n">
        <f aca="false">F4*F5*F6</f>
        <v>20440.6067353125</v>
      </c>
      <c r="G9" s="20" t="n">
        <f aca="false">G4*G5*G6</f>
        <v>21564.8401057547</v>
      </c>
      <c r="H9" s="20" t="n">
        <f aca="false">H4*H5*H6</f>
        <v>22750.9063115712</v>
      </c>
      <c r="I9" s="20" t="n">
        <f aca="false">I4*I5*I6</f>
        <v>24002.2061587076</v>
      </c>
      <c r="J9" s="20" t="n">
        <f aca="false">J4*J5*J6</f>
        <v>25322.3274974365</v>
      </c>
      <c r="K9" s="20" t="n">
        <f aca="false">K4*K5*K6</f>
        <v>26715.0555097955</v>
      </c>
      <c r="L9" s="20" t="n">
        <f aca="false">L4*L5*L6</f>
        <v>28184.3835628343</v>
      </c>
      <c r="M9" s="20" t="n">
        <f aca="false">M4*M5*M6</f>
        <v>29734.5246587902</v>
      </c>
      <c r="N9" s="20" t="n">
        <f aca="false">N4*N5*N6</f>
        <v>31369.9235150236</v>
      </c>
      <c r="O9" s="20" t="n">
        <f aca="false">O4*O5*O6</f>
        <v>33095.2693083499</v>
      </c>
      <c r="P9" s="20" t="n">
        <f aca="false">P4*P5*P6</f>
        <v>34915.5091203092</v>
      </c>
      <c r="Q9" s="20" t="n">
        <f aca="false">Q4*Q5*Q6</f>
        <v>36300</v>
      </c>
      <c r="R9" s="20" t="n">
        <f aca="false">R4*R5*R6</f>
        <v>36300</v>
      </c>
      <c r="S9" s="20" t="n">
        <f aca="false">S4*S5*S6</f>
        <v>36300</v>
      </c>
      <c r="T9" s="20" t="n">
        <f aca="false">T4*T5*T6</f>
        <v>36300</v>
      </c>
      <c r="U9" s="20" t="n">
        <f aca="false">U4*U5*U6</f>
        <v>36300</v>
      </c>
      <c r="V9" s="20" t="n">
        <f aca="false">V4*V5*V6</f>
        <v>36300</v>
      </c>
      <c r="W9" s="20" t="n">
        <f aca="false">W4*W5*W6</f>
        <v>36300</v>
      </c>
      <c r="X9" s="20" t="n">
        <f aca="false">X4*X5*X6</f>
        <v>36300</v>
      </c>
      <c r="Y9" s="20" t="n">
        <f aca="false">Y4*Y5*Y6</f>
        <v>36300</v>
      </c>
    </row>
    <row r="11" customFormat="false" ht="15" hidden="false" customHeight="true" outlineLevel="0" collapsed="false">
      <c r="A11" s="21" t="s">
        <v>113</v>
      </c>
    </row>
    <row r="12" customFormat="false" ht="15" hidden="false" customHeight="true" outlineLevel="0" collapsed="false">
      <c r="A12" s="1" t="s">
        <v>15</v>
      </c>
      <c r="B12" s="20" t="n">
        <f aca="false">B9*Assumptions!B14</f>
        <v>1485</v>
      </c>
      <c r="C12" s="20" t="n">
        <f aca="false">C9*Assumptions!B14</f>
        <v>1566.675</v>
      </c>
      <c r="D12" s="20" t="n">
        <f aca="false">D9*Assumptions!B14</f>
        <v>1652.842125</v>
      </c>
      <c r="E12" s="20" t="n">
        <f aca="false">E9*Assumptions!B14</f>
        <v>1743.748441875</v>
      </c>
      <c r="F12" s="20" t="n">
        <f aca="false">F9*Assumptions!B14</f>
        <v>1839.65460617812</v>
      </c>
      <c r="G12" s="20" t="n">
        <f aca="false">G9*Assumptions!B14</f>
        <v>1940.83560951792</v>
      </c>
      <c r="H12" s="20" t="n">
        <f aca="false">H9*Assumptions!B14</f>
        <v>2047.58156804141</v>
      </c>
      <c r="I12" s="20" t="n">
        <f aca="false">I9*Assumptions!B14</f>
        <v>2160.19855428368</v>
      </c>
      <c r="J12" s="20" t="n">
        <f aca="false">J9*Assumptions!B14</f>
        <v>2279.00947476929</v>
      </c>
      <c r="K12" s="20" t="n">
        <f aca="false">K9*Assumptions!B14</f>
        <v>2404.3549958816</v>
      </c>
      <c r="L12" s="20" t="n">
        <f aca="false">L9*Assumptions!B14</f>
        <v>2536.59452065508</v>
      </c>
      <c r="M12" s="20" t="n">
        <f aca="false">M9*Assumptions!B14</f>
        <v>2676.10721929111</v>
      </c>
      <c r="N12" s="20" t="n">
        <f aca="false">N9*Assumptions!B14</f>
        <v>2823.29311635213</v>
      </c>
      <c r="O12" s="20" t="n">
        <f aca="false">O9*Assumptions!B14</f>
        <v>2978.57423775149</v>
      </c>
      <c r="P12" s="20" t="n">
        <f aca="false">P9*Assumptions!B14</f>
        <v>3142.39582082782</v>
      </c>
      <c r="Q12" s="20" t="n">
        <f aca="false">Q9*Assumptions!B14</f>
        <v>3267</v>
      </c>
      <c r="R12" s="20" t="n">
        <f aca="false">R9*Assumptions!B14</f>
        <v>3267</v>
      </c>
      <c r="S12" s="20" t="n">
        <f aca="false">S9*Assumptions!B14</f>
        <v>3267</v>
      </c>
      <c r="T12" s="20" t="n">
        <f aca="false">T9*Assumptions!B14</f>
        <v>3267</v>
      </c>
      <c r="U12" s="20" t="n">
        <f aca="false">U9*Assumptions!B14</f>
        <v>3267</v>
      </c>
      <c r="V12" s="20" t="n">
        <f aca="false">V9*Assumptions!B14</f>
        <v>3267</v>
      </c>
      <c r="W12" s="20" t="n">
        <f aca="false">W9*Assumptions!B14</f>
        <v>3267</v>
      </c>
      <c r="X12" s="20" t="n">
        <f aca="false">X9*Assumptions!B14</f>
        <v>3267</v>
      </c>
      <c r="Y12" s="20" t="n">
        <f aca="false">Y9*Assumptions!B14</f>
        <v>3267</v>
      </c>
    </row>
    <row r="13" customFormat="false" ht="15" hidden="false" customHeight="true" outlineLevel="0" collapsed="false">
      <c r="A13" s="1" t="s">
        <v>16</v>
      </c>
      <c r="B13" s="20" t="n">
        <f aca="false">B9*Assumptions!B15</f>
        <v>990</v>
      </c>
      <c r="C13" s="20" t="n">
        <f aca="false">C9*Assumptions!B15</f>
        <v>1044.45</v>
      </c>
      <c r="D13" s="20" t="n">
        <f aca="false">D9*Assumptions!B15</f>
        <v>1101.89475</v>
      </c>
      <c r="E13" s="20" t="n">
        <f aca="false">E9*Assumptions!B15</f>
        <v>1162.49896125</v>
      </c>
      <c r="F13" s="20" t="n">
        <f aca="false">F9*Assumptions!B15</f>
        <v>1226.43640411875</v>
      </c>
      <c r="G13" s="20" t="n">
        <f aca="false">G9*Assumptions!B15</f>
        <v>1293.89040634528</v>
      </c>
      <c r="H13" s="20" t="n">
        <f aca="false">H9*Assumptions!B15</f>
        <v>1365.05437869427</v>
      </c>
      <c r="I13" s="20" t="n">
        <f aca="false">I9*Assumptions!B15</f>
        <v>1440.13236952246</v>
      </c>
      <c r="J13" s="20" t="n">
        <f aca="false">J9*Assumptions!B15</f>
        <v>1519.33964984619</v>
      </c>
      <c r="K13" s="20" t="n">
        <f aca="false">K9*Assumptions!B15</f>
        <v>1602.90333058773</v>
      </c>
      <c r="L13" s="20" t="n">
        <f aca="false">L9*Assumptions!B15</f>
        <v>1691.06301377006</v>
      </c>
      <c r="M13" s="20" t="n">
        <f aca="false">M9*Assumptions!B15</f>
        <v>1784.07147952741</v>
      </c>
      <c r="N13" s="20" t="n">
        <f aca="false">N9*Assumptions!B15</f>
        <v>1882.19541090142</v>
      </c>
      <c r="O13" s="20" t="n">
        <f aca="false">O9*Assumptions!B15</f>
        <v>1985.71615850099</v>
      </c>
      <c r="P13" s="20" t="n">
        <f aca="false">P9*Assumptions!B15</f>
        <v>2094.93054721855</v>
      </c>
      <c r="Q13" s="20" t="n">
        <f aca="false">Q9*Assumptions!B15</f>
        <v>2178</v>
      </c>
      <c r="R13" s="20" t="n">
        <f aca="false">R9*Assumptions!B15</f>
        <v>2178</v>
      </c>
      <c r="S13" s="20" t="n">
        <f aca="false">S9*Assumptions!B15</f>
        <v>2178</v>
      </c>
      <c r="T13" s="20" t="n">
        <f aca="false">T9*Assumptions!B15</f>
        <v>2178</v>
      </c>
      <c r="U13" s="20" t="n">
        <f aca="false">U9*Assumptions!B15</f>
        <v>2178</v>
      </c>
      <c r="V13" s="20" t="n">
        <f aca="false">V9*Assumptions!B15</f>
        <v>2178</v>
      </c>
      <c r="W13" s="20" t="n">
        <f aca="false">W9*Assumptions!B15</f>
        <v>2178</v>
      </c>
      <c r="X13" s="20" t="n">
        <f aca="false">X9*Assumptions!B15</f>
        <v>2178</v>
      </c>
      <c r="Y13" s="20" t="n">
        <f aca="false">Y9*Assumptions!B15</f>
        <v>2178</v>
      </c>
    </row>
    <row r="14" customFormat="false" ht="15" hidden="false" customHeight="true" outlineLevel="0" collapsed="false">
      <c r="A14" s="1" t="s">
        <v>17</v>
      </c>
      <c r="B14" s="20" t="n">
        <f aca="false">B9*Assumptions!B16</f>
        <v>4125</v>
      </c>
      <c r="C14" s="20" t="n">
        <f aca="false">C9*Assumptions!B16</f>
        <v>4351.875</v>
      </c>
      <c r="D14" s="20" t="n">
        <f aca="false">D9*Assumptions!B16</f>
        <v>4591.228125</v>
      </c>
      <c r="E14" s="20" t="n">
        <f aca="false">E9*Assumptions!B16</f>
        <v>4843.745671875</v>
      </c>
      <c r="F14" s="20" t="n">
        <f aca="false">F9*Assumptions!B16</f>
        <v>5110.15168382812</v>
      </c>
      <c r="G14" s="20" t="n">
        <f aca="false">G9*Assumptions!B16</f>
        <v>5391.21002643867</v>
      </c>
      <c r="H14" s="20" t="n">
        <f aca="false">H9*Assumptions!B16</f>
        <v>5687.7265778928</v>
      </c>
      <c r="I14" s="20" t="n">
        <f aca="false">I9*Assumptions!B16</f>
        <v>6000.5515396769</v>
      </c>
      <c r="J14" s="20" t="n">
        <f aca="false">J9*Assumptions!B16</f>
        <v>6330.58187435913</v>
      </c>
      <c r="K14" s="20" t="n">
        <f aca="false">K9*Assumptions!B16</f>
        <v>6678.76387744888</v>
      </c>
      <c r="L14" s="20" t="n">
        <f aca="false">L9*Assumptions!B16</f>
        <v>7046.09589070857</v>
      </c>
      <c r="M14" s="20" t="n">
        <f aca="false">M9*Assumptions!B16</f>
        <v>7433.63116469754</v>
      </c>
      <c r="N14" s="20" t="n">
        <f aca="false">N9*Assumptions!B16</f>
        <v>7842.4808787559</v>
      </c>
      <c r="O14" s="20" t="n">
        <f aca="false">O9*Assumptions!B16</f>
        <v>8273.81732708748</v>
      </c>
      <c r="P14" s="20" t="n">
        <f aca="false">P9*Assumptions!B16</f>
        <v>8728.87728007729</v>
      </c>
      <c r="Q14" s="20" t="n">
        <f aca="false">Q9*Assumptions!B16</f>
        <v>9075</v>
      </c>
      <c r="R14" s="20" t="n">
        <f aca="false">R9*Assumptions!B16</f>
        <v>9075</v>
      </c>
      <c r="S14" s="20" t="n">
        <f aca="false">S9*Assumptions!B16</f>
        <v>9075</v>
      </c>
      <c r="T14" s="20" t="n">
        <f aca="false">T9*Assumptions!B16</f>
        <v>9075</v>
      </c>
      <c r="U14" s="20" t="n">
        <f aca="false">U9*Assumptions!B16</f>
        <v>9075</v>
      </c>
      <c r="V14" s="20" t="n">
        <f aca="false">V9*Assumptions!B16</f>
        <v>9075</v>
      </c>
      <c r="W14" s="20" t="n">
        <f aca="false">W9*Assumptions!B16</f>
        <v>9075</v>
      </c>
      <c r="X14" s="20" t="n">
        <f aca="false">X9*Assumptions!B16</f>
        <v>9075</v>
      </c>
      <c r="Y14" s="20" t="n">
        <f aca="false">Y9*Assumptions!B16</f>
        <v>9075</v>
      </c>
    </row>
    <row r="15" customFormat="false" ht="15" hidden="false" customHeight="true" outlineLevel="0" collapsed="false">
      <c r="A15" s="1" t="s">
        <v>18</v>
      </c>
      <c r="B15" s="20" t="n">
        <f aca="false">B9*Assumptions!B17</f>
        <v>495</v>
      </c>
      <c r="C15" s="20" t="n">
        <f aca="false">C9*Assumptions!B17</f>
        <v>522.225</v>
      </c>
      <c r="D15" s="20" t="n">
        <f aca="false">D9*Assumptions!B17</f>
        <v>550.947375</v>
      </c>
      <c r="E15" s="20" t="n">
        <f aca="false">E9*Assumptions!B17</f>
        <v>581.249480625</v>
      </c>
      <c r="F15" s="20" t="n">
        <f aca="false">F9*Assumptions!B17</f>
        <v>613.218202059375</v>
      </c>
      <c r="G15" s="20" t="n">
        <f aca="false">G9*Assumptions!B17</f>
        <v>646.94520317264</v>
      </c>
      <c r="H15" s="20" t="n">
        <f aca="false">H9*Assumptions!B17</f>
        <v>682.527189347136</v>
      </c>
      <c r="I15" s="20" t="n">
        <f aca="false">I9*Assumptions!B17</f>
        <v>720.066184761228</v>
      </c>
      <c r="J15" s="20" t="n">
        <f aca="false">J9*Assumptions!B17</f>
        <v>759.669824923096</v>
      </c>
      <c r="K15" s="20" t="n">
        <f aca="false">K9*Assumptions!B17</f>
        <v>801.451665293866</v>
      </c>
      <c r="L15" s="20" t="n">
        <f aca="false">L9*Assumptions!B17</f>
        <v>845.531506885028</v>
      </c>
      <c r="M15" s="20" t="n">
        <f aca="false">M9*Assumptions!B17</f>
        <v>892.035739763705</v>
      </c>
      <c r="N15" s="20" t="n">
        <f aca="false">N9*Assumptions!B17</f>
        <v>941.097705450708</v>
      </c>
      <c r="O15" s="20" t="n">
        <f aca="false">O9*Assumptions!B17</f>
        <v>992.858079250497</v>
      </c>
      <c r="P15" s="20" t="n">
        <f aca="false">P9*Assumptions!B17</f>
        <v>1047.46527360927</v>
      </c>
      <c r="Q15" s="20" t="n">
        <f aca="false">Q9*Assumptions!B17</f>
        <v>1089</v>
      </c>
      <c r="R15" s="20" t="n">
        <f aca="false">R9*Assumptions!B17</f>
        <v>1089</v>
      </c>
      <c r="S15" s="20" t="n">
        <f aca="false">S9*Assumptions!B17</f>
        <v>1089</v>
      </c>
      <c r="T15" s="20" t="n">
        <f aca="false">T9*Assumptions!B17</f>
        <v>1089</v>
      </c>
      <c r="U15" s="20" t="n">
        <f aca="false">U9*Assumptions!B17</f>
        <v>1089</v>
      </c>
      <c r="V15" s="20" t="n">
        <f aca="false">V9*Assumptions!B17</f>
        <v>1089</v>
      </c>
      <c r="W15" s="20" t="n">
        <f aca="false">W9*Assumptions!B17</f>
        <v>1089</v>
      </c>
      <c r="X15" s="20" t="n">
        <f aca="false">X9*Assumptions!B17</f>
        <v>1089</v>
      </c>
      <c r="Y15" s="20" t="n">
        <f aca="false">Y9*Assumptions!B17</f>
        <v>1089</v>
      </c>
    </row>
    <row r="16" customFormat="false" ht="15" hidden="false" customHeight="true" outlineLevel="0" collapsed="false">
      <c r="A16" s="1" t="s">
        <v>114</v>
      </c>
      <c r="B16" s="20" t="n">
        <f aca="false">SUM(B12:B15)</f>
        <v>7095</v>
      </c>
      <c r="C16" s="20" t="n">
        <f aca="false">SUM(C12:C15)</f>
        <v>7485.225</v>
      </c>
      <c r="D16" s="20" t="n">
        <f aca="false">SUM(D12:D15)</f>
        <v>7896.912375</v>
      </c>
      <c r="E16" s="20" t="n">
        <f aca="false">SUM(E12:E15)</f>
        <v>8331.242555625</v>
      </c>
      <c r="F16" s="20" t="n">
        <f aca="false">SUM(F12:F15)</f>
        <v>8789.46089618437</v>
      </c>
      <c r="G16" s="20" t="n">
        <f aca="false">SUM(G12:G15)</f>
        <v>9272.88124547451</v>
      </c>
      <c r="H16" s="20" t="n">
        <f aca="false">SUM(H12:H15)</f>
        <v>9782.88971397561</v>
      </c>
      <c r="I16" s="20" t="n">
        <f aca="false">SUM(I12:I15)</f>
        <v>10320.9486482443</v>
      </c>
      <c r="J16" s="20" t="n">
        <f aca="false">SUM(J12:J15)</f>
        <v>10888.6008238977</v>
      </c>
      <c r="K16" s="20" t="n">
        <f aca="false">SUM(K12:K15)</f>
        <v>11487.4738692121</v>
      </c>
      <c r="L16" s="20" t="n">
        <f aca="false">SUM(L12:L15)</f>
        <v>12119.2849320187</v>
      </c>
      <c r="M16" s="20" t="n">
        <f aca="false">SUM(M12:M15)</f>
        <v>12785.8456032798</v>
      </c>
      <c r="N16" s="20" t="n">
        <f aca="false">SUM(N12:N15)</f>
        <v>13489.0671114602</v>
      </c>
      <c r="O16" s="20" t="n">
        <f aca="false">SUM(O12:O15)</f>
        <v>14230.9658025905</v>
      </c>
      <c r="P16" s="20" t="n">
        <f aca="false">SUM(P12:P15)</f>
        <v>15013.6689217329</v>
      </c>
      <c r="Q16" s="20" t="n">
        <f aca="false">SUM(Q12:Q15)</f>
        <v>15609</v>
      </c>
      <c r="R16" s="20" t="n">
        <f aca="false">SUM(R12:R15)</f>
        <v>15609</v>
      </c>
      <c r="S16" s="20" t="n">
        <f aca="false">SUM(S12:S15)</f>
        <v>15609</v>
      </c>
      <c r="T16" s="20" t="n">
        <f aca="false">SUM(T12:T15)</f>
        <v>15609</v>
      </c>
      <c r="U16" s="20" t="n">
        <f aca="false">SUM(U12:U15)</f>
        <v>15609</v>
      </c>
      <c r="V16" s="20" t="n">
        <f aca="false">SUM(V12:V15)</f>
        <v>15609</v>
      </c>
      <c r="W16" s="20" t="n">
        <f aca="false">SUM(W12:W15)</f>
        <v>15609</v>
      </c>
      <c r="X16" s="20" t="n">
        <f aca="false">SUM(X12:X15)</f>
        <v>15609</v>
      </c>
      <c r="Y16" s="20" t="n">
        <f aca="false">SUM(Y12:Y15)</f>
        <v>15609</v>
      </c>
    </row>
    <row r="17" customFormat="false" ht="15" hidden="false" customHeight="true" outlineLevel="0" collapsed="false">
      <c r="A17" s="1" t="s">
        <v>115</v>
      </c>
      <c r="B17" s="20" t="n">
        <f aca="false">B9-B16</f>
        <v>9405</v>
      </c>
      <c r="C17" s="20" t="n">
        <f aca="false">C9-C16</f>
        <v>9922.275</v>
      </c>
      <c r="D17" s="20" t="n">
        <f aca="false">D9-D16</f>
        <v>10468.000125</v>
      </c>
      <c r="E17" s="20" t="n">
        <f aca="false">E9-E16</f>
        <v>11043.740131875</v>
      </c>
      <c r="F17" s="20" t="n">
        <f aca="false">F9-F16</f>
        <v>11651.1458391281</v>
      </c>
      <c r="G17" s="20" t="n">
        <f aca="false">G9-G16</f>
        <v>12291.9588602802</v>
      </c>
      <c r="H17" s="20" t="n">
        <f aca="false">H9-H16</f>
        <v>12968.0165975956</v>
      </c>
      <c r="I17" s="20" t="n">
        <f aca="false">I9-I16</f>
        <v>13681.2575104633</v>
      </c>
      <c r="J17" s="20" t="n">
        <f aca="false">J9-J16</f>
        <v>14433.7266735388</v>
      </c>
      <c r="K17" s="20" t="n">
        <f aca="false">K9-K16</f>
        <v>15227.5816405834</v>
      </c>
      <c r="L17" s="20" t="n">
        <f aca="false">L9-L16</f>
        <v>16065.0986308155</v>
      </c>
      <c r="M17" s="20" t="n">
        <f aca="false">M9-M16</f>
        <v>16948.6790555104</v>
      </c>
      <c r="N17" s="20" t="n">
        <f aca="false">N9-N16</f>
        <v>17880.8564035635</v>
      </c>
      <c r="O17" s="20" t="n">
        <f aca="false">O9-O16</f>
        <v>18864.3035057595</v>
      </c>
      <c r="P17" s="20" t="n">
        <f aca="false">P9-P16</f>
        <v>19901.8401985762</v>
      </c>
      <c r="Q17" s="20" t="n">
        <f aca="false">Q9-Q16</f>
        <v>20691</v>
      </c>
      <c r="R17" s="20" t="n">
        <f aca="false">R9-R16</f>
        <v>20691</v>
      </c>
      <c r="S17" s="20" t="n">
        <f aca="false">S9-S16</f>
        <v>20691</v>
      </c>
      <c r="T17" s="20" t="n">
        <f aca="false">T9-T16</f>
        <v>20691</v>
      </c>
      <c r="U17" s="20" t="n">
        <f aca="false">U9-U16</f>
        <v>20691</v>
      </c>
      <c r="V17" s="20" t="n">
        <f aca="false">V9-V16</f>
        <v>20691</v>
      </c>
      <c r="W17" s="20" t="n">
        <f aca="false">W9-W16</f>
        <v>20691</v>
      </c>
      <c r="X17" s="20" t="n">
        <f aca="false">X9-X16</f>
        <v>20691</v>
      </c>
      <c r="Y17" s="20" t="n">
        <f aca="false">Y9-Y16</f>
        <v>20691</v>
      </c>
    </row>
    <row r="19" customFormat="false" ht="15" hidden="false" customHeight="true" outlineLevel="0" collapsed="false">
      <c r="A19" s="22" t="s">
        <v>116</v>
      </c>
    </row>
    <row r="20" customFormat="false" ht="15" hidden="false" customHeight="true" outlineLevel="0" collapsed="false">
      <c r="A20" s="1" t="s">
        <v>20</v>
      </c>
      <c r="B20" s="20" t="n">
        <f aca="false">Assumptions!B20</f>
        <v>5000</v>
      </c>
      <c r="C20" s="20" t="n">
        <f aca="false">Assumptions!B20</f>
        <v>5000</v>
      </c>
      <c r="D20" s="20" t="n">
        <f aca="false">Assumptions!B20</f>
        <v>5000</v>
      </c>
      <c r="E20" s="20" t="n">
        <f aca="false">Assumptions!B20</f>
        <v>5000</v>
      </c>
      <c r="F20" s="20" t="n">
        <f aca="false">Assumptions!B20</f>
        <v>5000</v>
      </c>
      <c r="G20" s="20" t="n">
        <f aca="false">Assumptions!B20</f>
        <v>5000</v>
      </c>
      <c r="H20" s="20" t="n">
        <f aca="false">Assumptions!B20</f>
        <v>5000</v>
      </c>
      <c r="I20" s="20" t="n">
        <f aca="false">Assumptions!B20</f>
        <v>5000</v>
      </c>
      <c r="J20" s="20" t="n">
        <f aca="false">Assumptions!B20</f>
        <v>5000</v>
      </c>
      <c r="K20" s="20" t="n">
        <f aca="false">Assumptions!B20</f>
        <v>5000</v>
      </c>
      <c r="L20" s="20" t="n">
        <f aca="false">Assumptions!B20</f>
        <v>5000</v>
      </c>
      <c r="M20" s="20" t="n">
        <f aca="false">Assumptions!B20</f>
        <v>5000</v>
      </c>
      <c r="N20" s="20" t="n">
        <f aca="false">Assumptions!B20</f>
        <v>5000</v>
      </c>
      <c r="O20" s="20" t="n">
        <f aca="false">Assumptions!B20</f>
        <v>5000</v>
      </c>
      <c r="P20" s="20" t="n">
        <f aca="false">Assumptions!B20</f>
        <v>5000</v>
      </c>
      <c r="Q20" s="20" t="n">
        <f aca="false">Assumptions!B20</f>
        <v>5000</v>
      </c>
      <c r="R20" s="20" t="n">
        <f aca="false">Assumptions!B20</f>
        <v>5000</v>
      </c>
      <c r="S20" s="20" t="n">
        <f aca="false">Assumptions!B20</f>
        <v>5000</v>
      </c>
      <c r="T20" s="20" t="n">
        <f aca="false">Assumptions!B20</f>
        <v>5000</v>
      </c>
      <c r="U20" s="20" t="n">
        <f aca="false">Assumptions!B20</f>
        <v>5000</v>
      </c>
      <c r="V20" s="20" t="n">
        <f aca="false">Assumptions!B20</f>
        <v>5000</v>
      </c>
      <c r="W20" s="20" t="n">
        <f aca="false">Assumptions!B20</f>
        <v>5000</v>
      </c>
      <c r="X20" s="20" t="n">
        <f aca="false">Assumptions!B20</f>
        <v>5000</v>
      </c>
      <c r="Y20" s="20" t="n">
        <f aca="false">Assumptions!B20</f>
        <v>5000</v>
      </c>
    </row>
    <row r="21" customFormat="false" ht="15" hidden="false" customHeight="true" outlineLevel="0" collapsed="false">
      <c r="A21" s="1" t="s">
        <v>22</v>
      </c>
      <c r="B21" s="20" t="n">
        <f aca="false">Assumptions!B21</f>
        <v>450</v>
      </c>
      <c r="C21" s="20" t="n">
        <f aca="false">Assumptions!B21</f>
        <v>450</v>
      </c>
      <c r="D21" s="20" t="n">
        <f aca="false">Assumptions!B21</f>
        <v>450</v>
      </c>
      <c r="E21" s="20" t="n">
        <f aca="false">Assumptions!B21</f>
        <v>450</v>
      </c>
      <c r="F21" s="20" t="n">
        <f aca="false">Assumptions!B21</f>
        <v>450</v>
      </c>
      <c r="G21" s="20" t="n">
        <f aca="false">Assumptions!B21</f>
        <v>450</v>
      </c>
      <c r="H21" s="20" t="n">
        <f aca="false">Assumptions!B21</f>
        <v>450</v>
      </c>
      <c r="I21" s="20" t="n">
        <f aca="false">Assumptions!B21</f>
        <v>450</v>
      </c>
      <c r="J21" s="20" t="n">
        <f aca="false">Assumptions!B21</f>
        <v>450</v>
      </c>
      <c r="K21" s="20" t="n">
        <f aca="false">Assumptions!B21</f>
        <v>450</v>
      </c>
      <c r="L21" s="20" t="n">
        <f aca="false">Assumptions!B21</f>
        <v>450</v>
      </c>
      <c r="M21" s="20" t="n">
        <f aca="false">Assumptions!B21</f>
        <v>450</v>
      </c>
      <c r="N21" s="20" t="n">
        <f aca="false">Assumptions!B21</f>
        <v>450</v>
      </c>
      <c r="O21" s="20" t="n">
        <f aca="false">Assumptions!B21</f>
        <v>450</v>
      </c>
      <c r="P21" s="20" t="n">
        <f aca="false">Assumptions!B21</f>
        <v>450</v>
      </c>
      <c r="Q21" s="20" t="n">
        <f aca="false">Assumptions!B21</f>
        <v>450</v>
      </c>
      <c r="R21" s="20" t="n">
        <f aca="false">Assumptions!B21</f>
        <v>450</v>
      </c>
      <c r="S21" s="20" t="n">
        <f aca="false">Assumptions!B21</f>
        <v>450</v>
      </c>
      <c r="T21" s="20" t="n">
        <f aca="false">Assumptions!B21</f>
        <v>450</v>
      </c>
      <c r="U21" s="20" t="n">
        <f aca="false">Assumptions!B21</f>
        <v>450</v>
      </c>
      <c r="V21" s="20" t="n">
        <f aca="false">Assumptions!B21</f>
        <v>450</v>
      </c>
      <c r="W21" s="20" t="n">
        <f aca="false">Assumptions!B21</f>
        <v>450</v>
      </c>
      <c r="X21" s="20" t="n">
        <f aca="false">Assumptions!B21</f>
        <v>450</v>
      </c>
      <c r="Y21" s="20" t="n">
        <f aca="false">Assumptions!B21</f>
        <v>450</v>
      </c>
    </row>
    <row r="22" customFormat="false" ht="15" hidden="false" customHeight="true" outlineLevel="0" collapsed="false">
      <c r="A22" s="1" t="s">
        <v>24</v>
      </c>
      <c r="B22" s="20" t="n">
        <f aca="false">Assumptions!B22</f>
        <v>11500</v>
      </c>
      <c r="C22" s="20" t="n">
        <f aca="false">Assumptions!B22</f>
        <v>11500</v>
      </c>
      <c r="D22" s="20" t="n">
        <f aca="false">Assumptions!B22</f>
        <v>11500</v>
      </c>
      <c r="E22" s="20" t="n">
        <f aca="false">Assumptions!B22</f>
        <v>11500</v>
      </c>
      <c r="F22" s="20" t="n">
        <f aca="false">Assumptions!B22</f>
        <v>11500</v>
      </c>
      <c r="G22" s="20" t="n">
        <f aca="false">Assumptions!B22</f>
        <v>11500</v>
      </c>
      <c r="H22" s="20" t="n">
        <f aca="false">Assumptions!B22</f>
        <v>11500</v>
      </c>
      <c r="I22" s="20" t="n">
        <f aca="false">Assumptions!B22</f>
        <v>11500</v>
      </c>
      <c r="J22" s="20" t="n">
        <f aca="false">Assumptions!B22</f>
        <v>11500</v>
      </c>
      <c r="K22" s="20" t="n">
        <f aca="false">Assumptions!B22</f>
        <v>11500</v>
      </c>
      <c r="L22" s="20" t="n">
        <f aca="false">Assumptions!B22</f>
        <v>11500</v>
      </c>
      <c r="M22" s="20" t="n">
        <f aca="false">Assumptions!B22</f>
        <v>11500</v>
      </c>
      <c r="N22" s="20" t="n">
        <f aca="false">Assumptions!B22</f>
        <v>11500</v>
      </c>
      <c r="O22" s="20" t="n">
        <f aca="false">Assumptions!B22</f>
        <v>11500</v>
      </c>
      <c r="P22" s="20" t="n">
        <f aca="false">Assumptions!B22</f>
        <v>11500</v>
      </c>
      <c r="Q22" s="20" t="n">
        <f aca="false">Assumptions!B22</f>
        <v>11500</v>
      </c>
      <c r="R22" s="20" t="n">
        <f aca="false">Assumptions!B22</f>
        <v>11500</v>
      </c>
      <c r="S22" s="20" t="n">
        <f aca="false">Assumptions!B22</f>
        <v>11500</v>
      </c>
      <c r="T22" s="20" t="n">
        <f aca="false">Assumptions!B22</f>
        <v>11500</v>
      </c>
      <c r="U22" s="20" t="n">
        <f aca="false">Assumptions!B22</f>
        <v>11500</v>
      </c>
      <c r="V22" s="20" t="n">
        <f aca="false">Assumptions!B22</f>
        <v>11500</v>
      </c>
      <c r="W22" s="20" t="n">
        <f aca="false">Assumptions!B22</f>
        <v>11500</v>
      </c>
      <c r="X22" s="20" t="n">
        <f aca="false">Assumptions!B22</f>
        <v>11500</v>
      </c>
      <c r="Y22" s="20" t="n">
        <f aca="false">Assumptions!B22</f>
        <v>11500</v>
      </c>
    </row>
    <row r="23" customFormat="false" ht="15" hidden="false" customHeight="true" outlineLevel="0" collapsed="false">
      <c r="A23" s="1" t="s">
        <v>117</v>
      </c>
      <c r="B23" s="20" t="n">
        <f aca="false">B22*Assumptions!B23</f>
        <v>1495</v>
      </c>
      <c r="C23" s="20" t="n">
        <f aca="false">C22*Assumptions!B23</f>
        <v>1495</v>
      </c>
      <c r="D23" s="20" t="n">
        <f aca="false">D22*Assumptions!B23</f>
        <v>1495</v>
      </c>
      <c r="E23" s="20" t="n">
        <f aca="false">E22*Assumptions!B23</f>
        <v>1495</v>
      </c>
      <c r="F23" s="20" t="n">
        <f aca="false">F22*Assumptions!B23</f>
        <v>1495</v>
      </c>
      <c r="G23" s="20" t="n">
        <f aca="false">G22*Assumptions!B23</f>
        <v>1495</v>
      </c>
      <c r="H23" s="20" t="n">
        <f aca="false">H22*Assumptions!B23</f>
        <v>1495</v>
      </c>
      <c r="I23" s="20" t="n">
        <f aca="false">I22*Assumptions!B23</f>
        <v>1495</v>
      </c>
      <c r="J23" s="20" t="n">
        <f aca="false">J22*Assumptions!B23</f>
        <v>1495</v>
      </c>
      <c r="K23" s="20" t="n">
        <f aca="false">K22*Assumptions!B23</f>
        <v>1495</v>
      </c>
      <c r="L23" s="20" t="n">
        <f aca="false">L22*Assumptions!B23</f>
        <v>1495</v>
      </c>
      <c r="M23" s="20" t="n">
        <f aca="false">M22*Assumptions!B23</f>
        <v>1495</v>
      </c>
      <c r="N23" s="20" t="n">
        <f aca="false">N22*Assumptions!B23</f>
        <v>1495</v>
      </c>
      <c r="O23" s="20" t="n">
        <f aca="false">O22*Assumptions!B23</f>
        <v>1495</v>
      </c>
      <c r="P23" s="20" t="n">
        <f aca="false">P22*Assumptions!B23</f>
        <v>1495</v>
      </c>
      <c r="Q23" s="20" t="n">
        <f aca="false">Q22*Assumptions!B23</f>
        <v>1495</v>
      </c>
      <c r="R23" s="20" t="n">
        <f aca="false">R22*Assumptions!B23</f>
        <v>1495</v>
      </c>
      <c r="S23" s="20" t="n">
        <f aca="false">S22*Assumptions!B23</f>
        <v>1495</v>
      </c>
      <c r="T23" s="20" t="n">
        <f aca="false">T22*Assumptions!B23</f>
        <v>1495</v>
      </c>
      <c r="U23" s="20" t="n">
        <f aca="false">U22*Assumptions!B23</f>
        <v>1495</v>
      </c>
      <c r="V23" s="20" t="n">
        <f aca="false">V22*Assumptions!B23</f>
        <v>1495</v>
      </c>
      <c r="W23" s="20" t="n">
        <f aca="false">W22*Assumptions!B23</f>
        <v>1495</v>
      </c>
      <c r="X23" s="20" t="n">
        <f aca="false">X22*Assumptions!B23</f>
        <v>1495</v>
      </c>
      <c r="Y23" s="20" t="n">
        <f aca="false">Y22*Assumptions!B23</f>
        <v>1495</v>
      </c>
    </row>
    <row r="24" customFormat="false" ht="15" hidden="false" customHeight="true" outlineLevel="0" collapsed="false">
      <c r="A24" s="1" t="s">
        <v>28</v>
      </c>
      <c r="B24" s="20" t="n">
        <f aca="false">Assumptions!B24</f>
        <v>800</v>
      </c>
      <c r="C24" s="20" t="n">
        <f aca="false">Assumptions!B24</f>
        <v>800</v>
      </c>
      <c r="D24" s="20" t="n">
        <f aca="false">Assumptions!B24</f>
        <v>800</v>
      </c>
      <c r="E24" s="20" t="n">
        <f aca="false">Assumptions!B24</f>
        <v>800</v>
      </c>
      <c r="F24" s="20" t="n">
        <f aca="false">Assumptions!B24</f>
        <v>800</v>
      </c>
      <c r="G24" s="20" t="n">
        <f aca="false">Assumptions!B24</f>
        <v>800</v>
      </c>
      <c r="H24" s="20" t="n">
        <f aca="false">Assumptions!B24</f>
        <v>800</v>
      </c>
      <c r="I24" s="20" t="n">
        <f aca="false">Assumptions!B24</f>
        <v>800</v>
      </c>
      <c r="J24" s="20" t="n">
        <f aca="false">Assumptions!B24</f>
        <v>800</v>
      </c>
      <c r="K24" s="20" t="n">
        <f aca="false">Assumptions!B24</f>
        <v>800</v>
      </c>
      <c r="L24" s="20" t="n">
        <f aca="false">Assumptions!B24</f>
        <v>800</v>
      </c>
      <c r="M24" s="20" t="n">
        <f aca="false">Assumptions!B24</f>
        <v>800</v>
      </c>
      <c r="N24" s="20" t="n">
        <f aca="false">Assumptions!B24</f>
        <v>800</v>
      </c>
      <c r="O24" s="20" t="n">
        <f aca="false">Assumptions!B24</f>
        <v>800</v>
      </c>
      <c r="P24" s="20" t="n">
        <f aca="false">Assumptions!B24</f>
        <v>800</v>
      </c>
      <c r="Q24" s="20" t="n">
        <f aca="false">Assumptions!B24</f>
        <v>800</v>
      </c>
      <c r="R24" s="20" t="n">
        <f aca="false">Assumptions!B24</f>
        <v>800</v>
      </c>
      <c r="S24" s="20" t="n">
        <f aca="false">Assumptions!B24</f>
        <v>800</v>
      </c>
      <c r="T24" s="20" t="n">
        <f aca="false">Assumptions!B24</f>
        <v>800</v>
      </c>
      <c r="U24" s="20" t="n">
        <f aca="false">Assumptions!B24</f>
        <v>800</v>
      </c>
      <c r="V24" s="20" t="n">
        <f aca="false">Assumptions!B24</f>
        <v>800</v>
      </c>
      <c r="W24" s="20" t="n">
        <f aca="false">Assumptions!B24</f>
        <v>800</v>
      </c>
      <c r="X24" s="20" t="n">
        <f aca="false">Assumptions!B24</f>
        <v>800</v>
      </c>
      <c r="Y24" s="20" t="n">
        <f aca="false">Assumptions!B24</f>
        <v>800</v>
      </c>
    </row>
    <row r="25" customFormat="false" ht="15" hidden="false" customHeight="true" outlineLevel="0" collapsed="false">
      <c r="A25" s="1" t="s">
        <v>30</v>
      </c>
      <c r="B25" s="20" t="n">
        <f aca="false">Assumptions!B25</f>
        <v>600</v>
      </c>
      <c r="C25" s="20" t="n">
        <f aca="false">Assumptions!B25</f>
        <v>600</v>
      </c>
      <c r="D25" s="20" t="n">
        <f aca="false">Assumptions!B25</f>
        <v>600</v>
      </c>
      <c r="E25" s="20" t="n">
        <f aca="false">Assumptions!B25</f>
        <v>600</v>
      </c>
      <c r="F25" s="20" t="n">
        <f aca="false">Assumptions!B25</f>
        <v>600</v>
      </c>
      <c r="G25" s="20" t="n">
        <f aca="false">Assumptions!B25</f>
        <v>600</v>
      </c>
      <c r="H25" s="20" t="n">
        <f aca="false">Assumptions!B25</f>
        <v>600</v>
      </c>
      <c r="I25" s="20" t="n">
        <f aca="false">Assumptions!B25</f>
        <v>600</v>
      </c>
      <c r="J25" s="20" t="n">
        <f aca="false">Assumptions!B25</f>
        <v>600</v>
      </c>
      <c r="K25" s="20" t="n">
        <f aca="false">Assumptions!B25</f>
        <v>600</v>
      </c>
      <c r="L25" s="20" t="n">
        <f aca="false">Assumptions!B25</f>
        <v>600</v>
      </c>
      <c r="M25" s="20" t="n">
        <f aca="false">Assumptions!B25</f>
        <v>600</v>
      </c>
      <c r="N25" s="20" t="n">
        <f aca="false">Assumptions!B25</f>
        <v>600</v>
      </c>
      <c r="O25" s="20" t="n">
        <f aca="false">Assumptions!B25</f>
        <v>600</v>
      </c>
      <c r="P25" s="20" t="n">
        <f aca="false">Assumptions!B25</f>
        <v>600</v>
      </c>
      <c r="Q25" s="20" t="n">
        <f aca="false">Assumptions!B25</f>
        <v>600</v>
      </c>
      <c r="R25" s="20" t="n">
        <f aca="false">Assumptions!B25</f>
        <v>600</v>
      </c>
      <c r="S25" s="20" t="n">
        <f aca="false">Assumptions!B25</f>
        <v>600</v>
      </c>
      <c r="T25" s="20" t="n">
        <f aca="false">Assumptions!B25</f>
        <v>600</v>
      </c>
      <c r="U25" s="20" t="n">
        <f aca="false">Assumptions!B25</f>
        <v>600</v>
      </c>
      <c r="V25" s="20" t="n">
        <f aca="false">Assumptions!B25</f>
        <v>600</v>
      </c>
      <c r="W25" s="20" t="n">
        <f aca="false">Assumptions!B25</f>
        <v>600</v>
      </c>
      <c r="X25" s="20" t="n">
        <f aca="false">Assumptions!B25</f>
        <v>600</v>
      </c>
      <c r="Y25" s="20" t="n">
        <f aca="false">Assumptions!B25</f>
        <v>600</v>
      </c>
    </row>
    <row r="26" customFormat="false" ht="15" hidden="false" customHeight="true" outlineLevel="0" collapsed="false">
      <c r="A26" s="1" t="s">
        <v>32</v>
      </c>
      <c r="B26" s="20" t="n">
        <f aca="false">Assumptions!B26</f>
        <v>400</v>
      </c>
      <c r="C26" s="20" t="n">
        <f aca="false">Assumptions!B26</f>
        <v>400</v>
      </c>
      <c r="D26" s="20" t="n">
        <f aca="false">Assumptions!B26</f>
        <v>400</v>
      </c>
      <c r="E26" s="20" t="n">
        <f aca="false">Assumptions!B26</f>
        <v>400</v>
      </c>
      <c r="F26" s="20" t="n">
        <f aca="false">Assumptions!B26</f>
        <v>400</v>
      </c>
      <c r="G26" s="20" t="n">
        <f aca="false">Assumptions!B26</f>
        <v>400</v>
      </c>
      <c r="H26" s="20" t="n">
        <f aca="false">Assumptions!B26</f>
        <v>400</v>
      </c>
      <c r="I26" s="20" t="n">
        <f aca="false">Assumptions!B26</f>
        <v>400</v>
      </c>
      <c r="J26" s="20" t="n">
        <f aca="false">Assumptions!B26</f>
        <v>400</v>
      </c>
      <c r="K26" s="20" t="n">
        <f aca="false">Assumptions!B26</f>
        <v>400</v>
      </c>
      <c r="L26" s="20" t="n">
        <f aca="false">Assumptions!B26</f>
        <v>400</v>
      </c>
      <c r="M26" s="20" t="n">
        <f aca="false">Assumptions!B26</f>
        <v>400</v>
      </c>
      <c r="N26" s="20" t="n">
        <f aca="false">Assumptions!B26</f>
        <v>400</v>
      </c>
      <c r="O26" s="20" t="n">
        <f aca="false">Assumptions!B26</f>
        <v>400</v>
      </c>
      <c r="P26" s="20" t="n">
        <f aca="false">Assumptions!B26</f>
        <v>400</v>
      </c>
      <c r="Q26" s="20" t="n">
        <f aca="false">Assumptions!B26</f>
        <v>400</v>
      </c>
      <c r="R26" s="20" t="n">
        <f aca="false">Assumptions!B26</f>
        <v>400</v>
      </c>
      <c r="S26" s="20" t="n">
        <f aca="false">Assumptions!B26</f>
        <v>400</v>
      </c>
      <c r="T26" s="20" t="n">
        <f aca="false">Assumptions!B26</f>
        <v>400</v>
      </c>
      <c r="U26" s="20" t="n">
        <f aca="false">Assumptions!B26</f>
        <v>400</v>
      </c>
      <c r="V26" s="20" t="n">
        <f aca="false">Assumptions!B26</f>
        <v>400</v>
      </c>
      <c r="W26" s="20" t="n">
        <f aca="false">Assumptions!B26</f>
        <v>400</v>
      </c>
      <c r="X26" s="20" t="n">
        <f aca="false">Assumptions!B26</f>
        <v>400</v>
      </c>
      <c r="Y26" s="20" t="n">
        <f aca="false">Assumptions!B26</f>
        <v>400</v>
      </c>
    </row>
    <row r="27" customFormat="false" ht="15" hidden="false" customHeight="true" outlineLevel="0" collapsed="false">
      <c r="A27" s="1" t="s">
        <v>34</v>
      </c>
      <c r="B27" s="20" t="n">
        <f aca="false">Assumptions!B27</f>
        <v>300</v>
      </c>
      <c r="C27" s="20" t="n">
        <f aca="false">Assumptions!B27</f>
        <v>300</v>
      </c>
      <c r="D27" s="20" t="n">
        <f aca="false">Assumptions!B27</f>
        <v>300</v>
      </c>
      <c r="E27" s="20" t="n">
        <f aca="false">Assumptions!B27</f>
        <v>300</v>
      </c>
      <c r="F27" s="20" t="n">
        <f aca="false">Assumptions!B27</f>
        <v>300</v>
      </c>
      <c r="G27" s="20" t="n">
        <f aca="false">Assumptions!B27</f>
        <v>300</v>
      </c>
      <c r="H27" s="20" t="n">
        <f aca="false">Assumptions!B27</f>
        <v>300</v>
      </c>
      <c r="I27" s="20" t="n">
        <f aca="false">Assumptions!B27</f>
        <v>300</v>
      </c>
      <c r="J27" s="20" t="n">
        <f aca="false">Assumptions!B27</f>
        <v>300</v>
      </c>
      <c r="K27" s="20" t="n">
        <f aca="false">Assumptions!B27</f>
        <v>300</v>
      </c>
      <c r="L27" s="20" t="n">
        <f aca="false">Assumptions!B27</f>
        <v>300</v>
      </c>
      <c r="M27" s="20" t="n">
        <f aca="false">Assumptions!B27</f>
        <v>300</v>
      </c>
      <c r="N27" s="20" t="n">
        <f aca="false">Assumptions!B27</f>
        <v>300</v>
      </c>
      <c r="O27" s="20" t="n">
        <f aca="false">Assumptions!B27</f>
        <v>300</v>
      </c>
      <c r="P27" s="20" t="n">
        <f aca="false">Assumptions!B27</f>
        <v>300</v>
      </c>
      <c r="Q27" s="20" t="n">
        <f aca="false">Assumptions!B27</f>
        <v>300</v>
      </c>
      <c r="R27" s="20" t="n">
        <f aca="false">Assumptions!B27</f>
        <v>300</v>
      </c>
      <c r="S27" s="20" t="n">
        <f aca="false">Assumptions!B27</f>
        <v>300</v>
      </c>
      <c r="T27" s="20" t="n">
        <f aca="false">Assumptions!B27</f>
        <v>300</v>
      </c>
      <c r="U27" s="20" t="n">
        <f aca="false">Assumptions!B27</f>
        <v>300</v>
      </c>
      <c r="V27" s="20" t="n">
        <f aca="false">Assumptions!B27</f>
        <v>300</v>
      </c>
      <c r="W27" s="20" t="n">
        <f aca="false">Assumptions!B27</f>
        <v>300</v>
      </c>
      <c r="X27" s="20" t="n">
        <f aca="false">Assumptions!B27</f>
        <v>300</v>
      </c>
      <c r="Y27" s="20" t="n">
        <f aca="false">Assumptions!B27</f>
        <v>300</v>
      </c>
    </row>
    <row r="28" customFormat="false" ht="15" hidden="false" customHeight="true" outlineLevel="0" collapsed="false">
      <c r="A28" s="1" t="s">
        <v>36</v>
      </c>
      <c r="B28" s="20" t="n">
        <f aca="false">Assumptions!B28</f>
        <v>250</v>
      </c>
      <c r="C28" s="20" t="n">
        <f aca="false">Assumptions!B28</f>
        <v>250</v>
      </c>
      <c r="D28" s="20" t="n">
        <f aca="false">Assumptions!B28</f>
        <v>250</v>
      </c>
      <c r="E28" s="20" t="n">
        <f aca="false">Assumptions!B28</f>
        <v>250</v>
      </c>
      <c r="F28" s="20" t="n">
        <f aca="false">Assumptions!B28</f>
        <v>250</v>
      </c>
      <c r="G28" s="20" t="n">
        <f aca="false">Assumptions!B28</f>
        <v>250</v>
      </c>
      <c r="H28" s="20" t="n">
        <f aca="false">Assumptions!B28</f>
        <v>250</v>
      </c>
      <c r="I28" s="20" t="n">
        <f aca="false">Assumptions!B28</f>
        <v>250</v>
      </c>
      <c r="J28" s="20" t="n">
        <f aca="false">Assumptions!B28</f>
        <v>250</v>
      </c>
      <c r="K28" s="20" t="n">
        <f aca="false">Assumptions!B28</f>
        <v>250</v>
      </c>
      <c r="L28" s="20" t="n">
        <f aca="false">Assumptions!B28</f>
        <v>250</v>
      </c>
      <c r="M28" s="20" t="n">
        <f aca="false">Assumptions!B28</f>
        <v>250</v>
      </c>
      <c r="N28" s="20" t="n">
        <f aca="false">Assumptions!B28</f>
        <v>250</v>
      </c>
      <c r="O28" s="20" t="n">
        <f aca="false">Assumptions!B28</f>
        <v>250</v>
      </c>
      <c r="P28" s="20" t="n">
        <f aca="false">Assumptions!B28</f>
        <v>250</v>
      </c>
      <c r="Q28" s="20" t="n">
        <f aca="false">Assumptions!B28</f>
        <v>250</v>
      </c>
      <c r="R28" s="20" t="n">
        <f aca="false">Assumptions!B28</f>
        <v>250</v>
      </c>
      <c r="S28" s="20" t="n">
        <f aca="false">Assumptions!B28</f>
        <v>250</v>
      </c>
      <c r="T28" s="20" t="n">
        <f aca="false">Assumptions!B28</f>
        <v>250</v>
      </c>
      <c r="U28" s="20" t="n">
        <f aca="false">Assumptions!B28</f>
        <v>250</v>
      </c>
      <c r="V28" s="20" t="n">
        <f aca="false">Assumptions!B28</f>
        <v>250</v>
      </c>
      <c r="W28" s="20" t="n">
        <f aca="false">Assumptions!B28</f>
        <v>250</v>
      </c>
      <c r="X28" s="20" t="n">
        <f aca="false">Assumptions!B28</f>
        <v>250</v>
      </c>
      <c r="Y28" s="20" t="n">
        <f aca="false">Assumptions!B28</f>
        <v>250</v>
      </c>
    </row>
    <row r="29" customFormat="false" ht="15" hidden="false" customHeight="true" outlineLevel="0" collapsed="false">
      <c r="A29" s="1" t="s">
        <v>38</v>
      </c>
      <c r="B29" s="20" t="n">
        <f aca="false">Assumptions!B29</f>
        <v>300</v>
      </c>
      <c r="C29" s="20" t="n">
        <f aca="false">Assumptions!B29</f>
        <v>300</v>
      </c>
      <c r="D29" s="20" t="n">
        <f aca="false">Assumptions!B29</f>
        <v>300</v>
      </c>
      <c r="E29" s="20" t="n">
        <f aca="false">Assumptions!B29</f>
        <v>300</v>
      </c>
      <c r="F29" s="20" t="n">
        <f aca="false">Assumptions!B29</f>
        <v>300</v>
      </c>
      <c r="G29" s="20" t="n">
        <f aca="false">Assumptions!B29</f>
        <v>300</v>
      </c>
      <c r="H29" s="20" t="n">
        <f aca="false">Assumptions!B29</f>
        <v>300</v>
      </c>
      <c r="I29" s="20" t="n">
        <f aca="false">Assumptions!B29</f>
        <v>300</v>
      </c>
      <c r="J29" s="20" t="n">
        <f aca="false">Assumptions!B29</f>
        <v>300</v>
      </c>
      <c r="K29" s="20" t="n">
        <f aca="false">Assumptions!B29</f>
        <v>300</v>
      </c>
      <c r="L29" s="20" t="n">
        <f aca="false">Assumptions!B29</f>
        <v>300</v>
      </c>
      <c r="M29" s="20" t="n">
        <f aca="false">Assumptions!B29</f>
        <v>300</v>
      </c>
      <c r="N29" s="20" t="n">
        <f aca="false">Assumptions!B29</f>
        <v>300</v>
      </c>
      <c r="O29" s="20" t="n">
        <f aca="false">Assumptions!B29</f>
        <v>300</v>
      </c>
      <c r="P29" s="20" t="n">
        <f aca="false">Assumptions!B29</f>
        <v>300</v>
      </c>
      <c r="Q29" s="20" t="n">
        <f aca="false">Assumptions!B29</f>
        <v>300</v>
      </c>
      <c r="R29" s="20" t="n">
        <f aca="false">Assumptions!B29</f>
        <v>300</v>
      </c>
      <c r="S29" s="20" t="n">
        <f aca="false">Assumptions!B29</f>
        <v>300</v>
      </c>
      <c r="T29" s="20" t="n">
        <f aca="false">Assumptions!B29</f>
        <v>300</v>
      </c>
      <c r="U29" s="20" t="n">
        <f aca="false">Assumptions!B29</f>
        <v>300</v>
      </c>
      <c r="V29" s="20" t="n">
        <f aca="false">Assumptions!B29</f>
        <v>300</v>
      </c>
      <c r="W29" s="20" t="n">
        <f aca="false">Assumptions!B29</f>
        <v>300</v>
      </c>
      <c r="X29" s="20" t="n">
        <f aca="false">Assumptions!B29</f>
        <v>300</v>
      </c>
      <c r="Y29" s="20" t="n">
        <f aca="false">Assumptions!B29</f>
        <v>300</v>
      </c>
    </row>
    <row r="30" customFormat="false" ht="15" hidden="false" customHeight="true" outlineLevel="0" collapsed="false">
      <c r="A30" s="1" t="s">
        <v>118</v>
      </c>
      <c r="B30" s="20" t="n">
        <f aca="false">SUM(B20:B29)</f>
        <v>21095</v>
      </c>
      <c r="C30" s="20" t="n">
        <f aca="false">SUM(C20:C29)</f>
        <v>21095</v>
      </c>
      <c r="D30" s="20" t="n">
        <f aca="false">SUM(D20:D29)</f>
        <v>21095</v>
      </c>
      <c r="E30" s="20" t="n">
        <f aca="false">SUM(E20:E29)</f>
        <v>21095</v>
      </c>
      <c r="F30" s="20" t="n">
        <f aca="false">SUM(F20:F29)</f>
        <v>21095</v>
      </c>
      <c r="G30" s="20" t="n">
        <f aca="false">SUM(G20:G29)</f>
        <v>21095</v>
      </c>
      <c r="H30" s="20" t="n">
        <f aca="false">SUM(H20:H29)</f>
        <v>21095</v>
      </c>
      <c r="I30" s="20" t="n">
        <f aca="false">SUM(I20:I29)</f>
        <v>21095</v>
      </c>
      <c r="J30" s="20" t="n">
        <f aca="false">SUM(J20:J29)</f>
        <v>21095</v>
      </c>
      <c r="K30" s="20" t="n">
        <f aca="false">SUM(K20:K29)</f>
        <v>21095</v>
      </c>
      <c r="L30" s="20" t="n">
        <f aca="false">SUM(L20:L29)</f>
        <v>21095</v>
      </c>
      <c r="M30" s="20" t="n">
        <f aca="false">SUM(M20:M29)</f>
        <v>21095</v>
      </c>
      <c r="N30" s="20" t="n">
        <f aca="false">SUM(N20:N29)</f>
        <v>21095</v>
      </c>
      <c r="O30" s="20" t="n">
        <f aca="false">SUM(O20:O29)</f>
        <v>21095</v>
      </c>
      <c r="P30" s="20" t="n">
        <f aca="false">SUM(P20:P29)</f>
        <v>21095</v>
      </c>
      <c r="Q30" s="20" t="n">
        <f aca="false">SUM(Q20:Q29)</f>
        <v>21095</v>
      </c>
      <c r="R30" s="20" t="n">
        <f aca="false">SUM(R20:R29)</f>
        <v>21095</v>
      </c>
      <c r="S30" s="20" t="n">
        <f aca="false">SUM(S20:S29)</f>
        <v>21095</v>
      </c>
      <c r="T30" s="20" t="n">
        <f aca="false">SUM(T20:T29)</f>
        <v>21095</v>
      </c>
      <c r="U30" s="20" t="n">
        <f aca="false">SUM(U20:U29)</f>
        <v>21095</v>
      </c>
      <c r="V30" s="20" t="n">
        <f aca="false">SUM(V20:V29)</f>
        <v>21095</v>
      </c>
      <c r="W30" s="20" t="n">
        <f aca="false">SUM(W20:W29)</f>
        <v>21095</v>
      </c>
      <c r="X30" s="20" t="n">
        <f aca="false">SUM(X20:X29)</f>
        <v>21095</v>
      </c>
      <c r="Y30" s="20" t="n">
        <f aca="false">SUM(Y20:Y29)</f>
        <v>21095</v>
      </c>
    </row>
    <row r="32" customFormat="false" ht="15" hidden="false" customHeight="true" outlineLevel="0" collapsed="false">
      <c r="A32" s="1" t="s">
        <v>119</v>
      </c>
      <c r="B32" s="20" t="n">
        <f aca="false">B17-B30</f>
        <v>-11690</v>
      </c>
      <c r="C32" s="20" t="n">
        <f aca="false">C17-C30</f>
        <v>-11172.725</v>
      </c>
      <c r="D32" s="20" t="n">
        <f aca="false">D17-D30</f>
        <v>-10626.999875</v>
      </c>
      <c r="E32" s="20" t="n">
        <f aca="false">E17-E30</f>
        <v>-10051.259868125</v>
      </c>
      <c r="F32" s="20" t="n">
        <f aca="false">F17-F30</f>
        <v>-9443.85416087188</v>
      </c>
      <c r="G32" s="20" t="n">
        <f aca="false">G17-G30</f>
        <v>-8803.04113971983</v>
      </c>
      <c r="H32" s="20" t="n">
        <f aca="false">H17-H30</f>
        <v>-8126.98340240442</v>
      </c>
      <c r="I32" s="20" t="n">
        <f aca="false">I17-I30</f>
        <v>-7413.74248953667</v>
      </c>
      <c r="J32" s="20" t="n">
        <f aca="false">J17-J30</f>
        <v>-6661.27332646118</v>
      </c>
      <c r="K32" s="20" t="n">
        <f aca="false">K17-K30</f>
        <v>-5867.41835941655</v>
      </c>
      <c r="L32" s="20" t="n">
        <f aca="false">L17-L30</f>
        <v>-5029.90136918446</v>
      </c>
      <c r="M32" s="20" t="n">
        <f aca="false">M17-M30</f>
        <v>-4146.32094448961</v>
      </c>
      <c r="N32" s="20" t="n">
        <f aca="false">N17-N30</f>
        <v>-3214.14359643654</v>
      </c>
      <c r="O32" s="20" t="n">
        <f aca="false">O17-O30</f>
        <v>-2230.69649424055</v>
      </c>
      <c r="P32" s="20" t="n">
        <f aca="false">P17-P30</f>
        <v>-1193.15980142378</v>
      </c>
      <c r="Q32" s="20" t="n">
        <f aca="false">Q17-Q30</f>
        <v>-404</v>
      </c>
      <c r="R32" s="20" t="n">
        <f aca="false">R17-R30</f>
        <v>-404</v>
      </c>
      <c r="S32" s="20" t="n">
        <f aca="false">S17-S30</f>
        <v>-404</v>
      </c>
      <c r="T32" s="20" t="n">
        <f aca="false">T17-T30</f>
        <v>-404</v>
      </c>
      <c r="U32" s="20" t="n">
        <f aca="false">U17-U30</f>
        <v>-404</v>
      </c>
      <c r="V32" s="20" t="n">
        <f aca="false">V17-V30</f>
        <v>-404</v>
      </c>
      <c r="W32" s="20" t="n">
        <f aca="false">W17-W30</f>
        <v>-404</v>
      </c>
      <c r="X32" s="20" t="n">
        <f aca="false">X17-X30</f>
        <v>-404</v>
      </c>
      <c r="Y32" s="20" t="n">
        <f aca="false">Y17-Y30</f>
        <v>-404</v>
      </c>
    </row>
    <row r="33" customFormat="false" ht="15" hidden="false" customHeight="true" outlineLevel="0" collapsed="false">
      <c r="A33" s="1" t="s">
        <v>120</v>
      </c>
      <c r="B33" s="20" t="n">
        <f aca="false">IF(B32&gt;0, B32*Assumptions!B31, 0)</f>
        <v>0</v>
      </c>
      <c r="C33" s="20" t="n">
        <f aca="false">IF(C32&gt;0, C32*Assumptions!B31, 0)</f>
        <v>0</v>
      </c>
      <c r="D33" s="20" t="n">
        <f aca="false">IF(D32&gt;0, D32*Assumptions!B31, 0)</f>
        <v>0</v>
      </c>
      <c r="E33" s="20" t="n">
        <f aca="false">IF(E32&gt;0, E32*Assumptions!B31, 0)</f>
        <v>0</v>
      </c>
      <c r="F33" s="20" t="n">
        <f aca="false">IF(F32&gt;0, F32*Assumptions!B31, 0)</f>
        <v>0</v>
      </c>
      <c r="G33" s="20" t="n">
        <f aca="false">IF(G32&gt;0, G32*Assumptions!B31, 0)</f>
        <v>0</v>
      </c>
      <c r="H33" s="20" t="n">
        <f aca="false">IF(H32&gt;0, H32*Assumptions!B31, 0)</f>
        <v>0</v>
      </c>
      <c r="I33" s="20" t="n">
        <f aca="false">IF(I32&gt;0, I32*Assumptions!B31, 0)</f>
        <v>0</v>
      </c>
      <c r="J33" s="20" t="n">
        <f aca="false">IF(J32&gt;0, J32*Assumptions!B31, 0)</f>
        <v>0</v>
      </c>
      <c r="K33" s="20" t="n">
        <f aca="false">IF(K32&gt;0, K32*Assumptions!B31, 0)</f>
        <v>0</v>
      </c>
      <c r="L33" s="20" t="n">
        <f aca="false">IF(L32&gt;0, L32*Assumptions!B31, 0)</f>
        <v>0</v>
      </c>
      <c r="M33" s="20" t="n">
        <f aca="false">IF(M32&gt;0, M32*Assumptions!B31, 0)</f>
        <v>0</v>
      </c>
      <c r="N33" s="20" t="n">
        <f aca="false">IF(N32&gt;0, N32*Assumptions!B31, 0)</f>
        <v>0</v>
      </c>
      <c r="O33" s="20" t="n">
        <f aca="false">IF(O32&gt;0, O32*Assumptions!B31, 0)</f>
        <v>0</v>
      </c>
      <c r="P33" s="20" t="n">
        <f aca="false">IF(P32&gt;0, P32*Assumptions!B31, 0)</f>
        <v>0</v>
      </c>
      <c r="Q33" s="20" t="n">
        <f aca="false">IF(Q32&gt;0, Q32*Assumptions!B31, 0)</f>
        <v>0</v>
      </c>
      <c r="R33" s="20" t="n">
        <f aca="false">IF(R32&gt;0, R32*Assumptions!B31, 0)</f>
        <v>0</v>
      </c>
      <c r="S33" s="20" t="n">
        <f aca="false">IF(S32&gt;0, S32*Assumptions!B31, 0)</f>
        <v>0</v>
      </c>
      <c r="T33" s="20" t="n">
        <f aca="false">IF(T32&gt;0, T32*Assumptions!B31, 0)</f>
        <v>0</v>
      </c>
      <c r="U33" s="20" t="n">
        <f aca="false">IF(U32&gt;0, U32*Assumptions!B31, 0)</f>
        <v>0</v>
      </c>
      <c r="V33" s="20" t="n">
        <f aca="false">IF(V32&gt;0, V32*Assumptions!B31, 0)</f>
        <v>0</v>
      </c>
      <c r="W33" s="20" t="n">
        <f aca="false">IF(W32&gt;0, W32*Assumptions!B31, 0)</f>
        <v>0</v>
      </c>
      <c r="X33" s="20" t="n">
        <f aca="false">IF(X32&gt;0, X32*Assumptions!B31, 0)</f>
        <v>0</v>
      </c>
      <c r="Y33" s="20" t="n">
        <f aca="false">IF(Y32&gt;0, Y32*Assumptions!B31, 0)</f>
        <v>0</v>
      </c>
    </row>
    <row r="35" customFormat="false" ht="15" hidden="false" customHeight="true" outlineLevel="0" collapsed="false">
      <c r="A35" s="10" t="s">
        <v>121</v>
      </c>
      <c r="B35" s="20" t="n">
        <f aca="false">B32-B33</f>
        <v>-11690</v>
      </c>
      <c r="C35" s="20" t="n">
        <f aca="false">C32-C33</f>
        <v>-11172.725</v>
      </c>
      <c r="D35" s="20" t="n">
        <f aca="false">D32-D33</f>
        <v>-10626.999875</v>
      </c>
      <c r="E35" s="20" t="n">
        <f aca="false">E32-E33</f>
        <v>-10051.259868125</v>
      </c>
      <c r="F35" s="20" t="n">
        <f aca="false">F32-F33</f>
        <v>-9443.85416087188</v>
      </c>
      <c r="G35" s="20" t="n">
        <f aca="false">G32-G33</f>
        <v>-8803.04113971983</v>
      </c>
      <c r="H35" s="20" t="n">
        <f aca="false">H32-H33</f>
        <v>-8126.98340240442</v>
      </c>
      <c r="I35" s="20" t="n">
        <f aca="false">I32-I33</f>
        <v>-7413.74248953667</v>
      </c>
      <c r="J35" s="20" t="n">
        <f aca="false">J32-J33</f>
        <v>-6661.27332646118</v>
      </c>
      <c r="K35" s="20" t="n">
        <f aca="false">K32-K33</f>
        <v>-5867.41835941655</v>
      </c>
      <c r="L35" s="20" t="n">
        <f aca="false">L32-L33</f>
        <v>-5029.90136918446</v>
      </c>
      <c r="M35" s="20" t="n">
        <f aca="false">M32-M33</f>
        <v>-4146.32094448961</v>
      </c>
      <c r="N35" s="20" t="n">
        <f aca="false">N32-N33</f>
        <v>-3214.14359643654</v>
      </c>
      <c r="O35" s="20" t="n">
        <f aca="false">O32-O33</f>
        <v>-2230.69649424055</v>
      </c>
      <c r="P35" s="20" t="n">
        <f aca="false">P32-P33</f>
        <v>-1193.15980142378</v>
      </c>
      <c r="Q35" s="20" t="n">
        <f aca="false">Q32-Q33</f>
        <v>-404</v>
      </c>
      <c r="R35" s="20" t="n">
        <f aca="false">R32-R33</f>
        <v>-404</v>
      </c>
      <c r="S35" s="20" t="n">
        <f aca="false">S32-S33</f>
        <v>-404</v>
      </c>
      <c r="T35" s="20" t="n">
        <f aca="false">T32-T33</f>
        <v>-404</v>
      </c>
      <c r="U35" s="20" t="n">
        <f aca="false">U32-U33</f>
        <v>-404</v>
      </c>
      <c r="V35" s="20" t="n">
        <f aca="false">V32-V33</f>
        <v>-404</v>
      </c>
      <c r="W35" s="20" t="n">
        <f aca="false">W32-W33</f>
        <v>-404</v>
      </c>
      <c r="X35" s="20" t="n">
        <f aca="false">X32-X33</f>
        <v>-404</v>
      </c>
      <c r="Y35" s="20" t="n">
        <f aca="false">Y32-Y33</f>
        <v>-404</v>
      </c>
    </row>
    <row r="36" customFormat="false" ht="15" hidden="false" customHeight="true" outlineLevel="0" collapsed="false">
      <c r="A36" s="1" t="s">
        <v>122</v>
      </c>
      <c r="B36" s="20" t="n">
        <f aca="false">B35</f>
        <v>-11690</v>
      </c>
      <c r="C36" s="20" t="n">
        <f aca="false">B36+C35</f>
        <v>-22862.725</v>
      </c>
      <c r="D36" s="20" t="n">
        <f aca="false">C36+D35</f>
        <v>-33489.724875</v>
      </c>
      <c r="E36" s="20" t="n">
        <f aca="false">D36+E35</f>
        <v>-43540.984743125</v>
      </c>
      <c r="F36" s="20" t="n">
        <f aca="false">E36+F35</f>
        <v>-52984.8389039969</v>
      </c>
      <c r="G36" s="20" t="n">
        <f aca="false">F36+G35</f>
        <v>-61787.8800437167</v>
      </c>
      <c r="H36" s="20" t="n">
        <f aca="false">G36+H35</f>
        <v>-69914.8634461211</v>
      </c>
      <c r="I36" s="20" t="n">
        <f aca="false">H36+I35</f>
        <v>-77328.6059356578</v>
      </c>
      <c r="J36" s="20" t="n">
        <f aca="false">I36+J35</f>
        <v>-83989.879262119</v>
      </c>
      <c r="K36" s="20" t="n">
        <f aca="false">J36+K35</f>
        <v>-89857.2976215355</v>
      </c>
      <c r="L36" s="20" t="n">
        <f aca="false">K36+L35</f>
        <v>-94887.19899072</v>
      </c>
      <c r="M36" s="20" t="n">
        <f aca="false">L36+M35</f>
        <v>-99033.5199352096</v>
      </c>
      <c r="N36" s="20" t="n">
        <f aca="false">M36+N35</f>
        <v>-102247.663531646</v>
      </c>
      <c r="O36" s="20" t="n">
        <f aca="false">N36+O35</f>
        <v>-104478.360025887</v>
      </c>
      <c r="P36" s="20" t="n">
        <f aca="false">O36+P35</f>
        <v>-105671.51982731</v>
      </c>
      <c r="Q36" s="20" t="n">
        <f aca="false">P36+Q35</f>
        <v>-106075.51982731</v>
      </c>
      <c r="R36" s="20" t="n">
        <f aca="false">Q36+R35</f>
        <v>-106479.51982731</v>
      </c>
      <c r="S36" s="20" t="n">
        <f aca="false">R36+S35</f>
        <v>-106883.51982731</v>
      </c>
      <c r="T36" s="20" t="n">
        <f aca="false">S36+T35</f>
        <v>-107287.51982731</v>
      </c>
      <c r="U36" s="20" t="n">
        <f aca="false">T36+U35</f>
        <v>-107691.51982731</v>
      </c>
      <c r="V36" s="20" t="n">
        <f aca="false">U36+V35</f>
        <v>-108095.51982731</v>
      </c>
      <c r="W36" s="20" t="n">
        <f aca="false">V36+W35</f>
        <v>-108499.51982731</v>
      </c>
      <c r="X36" s="20" t="n">
        <f aca="false">W36+X35</f>
        <v>-108903.51982731</v>
      </c>
      <c r="Y36" s="20" t="n">
        <f aca="false">X36+Y35</f>
        <v>-109307.51982731</v>
      </c>
    </row>
  </sheetData>
  <mergeCells count="2">
    <mergeCell ref="A1:Y1"/>
    <mergeCell ref="A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14" t="s">
        <v>0</v>
      </c>
      <c r="B1" s="14"/>
      <c r="C1" s="14"/>
    </row>
    <row r="2" customFormat="false" ht="15" hidden="false" customHeight="true" outlineLevel="0" collapsed="false">
      <c r="A2" s="8" t="s">
        <v>123</v>
      </c>
      <c r="B2" s="8"/>
      <c r="C2" s="8"/>
    </row>
    <row r="4" customFormat="false" ht="15" hidden="false" customHeight="true" outlineLevel="0" collapsed="false">
      <c r="A4" s="9" t="s">
        <v>124</v>
      </c>
    </row>
    <row r="5" customFormat="false" ht="15" hidden="false" customHeight="true" outlineLevel="0" collapsed="false">
      <c r="A5" s="1" t="s">
        <v>125</v>
      </c>
      <c r="B5" s="23" t="n">
        <f aca="false">'Startup Costs'!B49</f>
        <v>124200</v>
      </c>
    </row>
    <row r="6" customFormat="false" ht="15" hidden="false" customHeight="true" outlineLevel="0" collapsed="false">
      <c r="A6" s="1" t="s">
        <v>126</v>
      </c>
      <c r="B6" s="23" t="n">
        <f aca="false">SUM('Monthly P&amp;L'!B9:M9)</f>
        <v>270362.245727702</v>
      </c>
    </row>
    <row r="7" customFormat="false" ht="15" hidden="false" customHeight="true" outlineLevel="0" collapsed="false">
      <c r="A7" s="1" t="s">
        <v>127</v>
      </c>
      <c r="B7" s="23" t="n">
        <f aca="false">SUM('Monthly P&amp;L'!B35:M35)</f>
        <v>-99033.5199352096</v>
      </c>
    </row>
    <row r="8" customFormat="false" ht="15" hidden="false" customHeight="true" outlineLevel="0" collapsed="false">
      <c r="A8" s="1" t="s">
        <v>128</v>
      </c>
      <c r="B8" s="24" t="str">
        <f aca="false">IFERROR(MATCH(TRUE(), 'Monthly P&amp;L'!B35:M35&gt;0, 0), "Not yet")</f>
        <v>Not yet</v>
      </c>
    </row>
    <row r="9" customFormat="false" ht="15" hidden="false" customHeight="true" outlineLevel="0" collapsed="false">
      <c r="A9" s="1" t="s">
        <v>129</v>
      </c>
      <c r="B9" s="23" t="n">
        <f aca="false">SUM('Monthly P&amp;L'!N35:Y35)</f>
        <v>-10273.9998921009</v>
      </c>
    </row>
    <row r="10" customFormat="false" ht="15" hidden="false" customHeight="true" outlineLevel="0" collapsed="false">
      <c r="A10" s="1" t="s">
        <v>130</v>
      </c>
      <c r="B10" s="23" t="n">
        <f aca="false">AVERAGE('Monthly P&amp;L'!B9:D9)</f>
        <v>17424.1375</v>
      </c>
    </row>
    <row r="11" customFormat="false" ht="15" hidden="false" customHeight="true" outlineLevel="0" collapsed="false">
      <c r="A11" s="1" t="s">
        <v>131</v>
      </c>
      <c r="B11" s="23" t="n">
        <f aca="false">AVERAGE('Monthly P&amp;L'!K9:M9)</f>
        <v>28211.3212438067</v>
      </c>
    </row>
    <row r="12" customFormat="false" ht="15" hidden="false" customHeight="true" outlineLevel="0" collapsed="false">
      <c r="A12" s="1" t="s">
        <v>132</v>
      </c>
      <c r="B12" s="23" t="n">
        <f aca="false">'Monthly P&amp;L'!M35</f>
        <v>-4146.32094448961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8" t="s">
        <v>133</v>
      </c>
      <c r="B2" s="8"/>
      <c r="C2" s="8"/>
      <c r="D2" s="8"/>
      <c r="E2" s="8"/>
    </row>
    <row r="4" customFormat="false" ht="15" hidden="false" customHeight="true" outlineLevel="0" collapsed="false">
      <c r="A4" s="9" t="s">
        <v>134</v>
      </c>
      <c r="B4" s="9" t="s">
        <v>135</v>
      </c>
      <c r="C4" s="9" t="s">
        <v>136</v>
      </c>
      <c r="D4" s="9" t="s">
        <v>137</v>
      </c>
      <c r="E4" s="9" t="s">
        <v>138</v>
      </c>
    </row>
    <row r="5" customFormat="false" ht="15" hidden="false" customHeight="true" outlineLevel="0" collapsed="false">
      <c r="A5" s="10" t="s">
        <v>139</v>
      </c>
    </row>
    <row r="6" customFormat="false" ht="15" hidden="false" customHeight="true" outlineLevel="0" collapsed="false">
      <c r="A6" s="1" t="s">
        <v>140</v>
      </c>
      <c r="B6" s="25" t="n">
        <v>2.5</v>
      </c>
      <c r="C6" s="25" t="n">
        <v>0.4</v>
      </c>
      <c r="D6" s="26" t="n">
        <f aca="false">B6-C6</f>
        <v>2.1</v>
      </c>
      <c r="E6" s="27" t="n">
        <f aca="false">D6/B6</f>
        <v>0.84</v>
      </c>
    </row>
    <row r="7" customFormat="false" ht="15" hidden="false" customHeight="true" outlineLevel="0" collapsed="false">
      <c r="A7" s="1" t="s">
        <v>141</v>
      </c>
      <c r="B7" s="25" t="n">
        <v>3</v>
      </c>
      <c r="C7" s="25" t="n">
        <v>0.5</v>
      </c>
      <c r="D7" s="26" t="n">
        <f aca="false">B7-C7</f>
        <v>2.5</v>
      </c>
      <c r="E7" s="27" t="n">
        <f aca="false">D7/B7</f>
        <v>0.833333333333333</v>
      </c>
    </row>
    <row r="8" customFormat="false" ht="15" hidden="false" customHeight="true" outlineLevel="0" collapsed="false">
      <c r="A8" s="1" t="s">
        <v>142</v>
      </c>
      <c r="B8" s="25" t="n">
        <v>4.5</v>
      </c>
      <c r="C8" s="25" t="n">
        <v>1.2</v>
      </c>
      <c r="D8" s="26" t="n">
        <f aca="false">B8-C8</f>
        <v>3.3</v>
      </c>
      <c r="E8" s="27" t="n">
        <f aca="false">D8/B8</f>
        <v>0.733333333333333</v>
      </c>
    </row>
    <row r="9" customFormat="false" ht="15" hidden="false" customHeight="true" outlineLevel="0" collapsed="false">
      <c r="A9" s="1" t="s">
        <v>143</v>
      </c>
      <c r="B9" s="25" t="n">
        <v>4.5</v>
      </c>
      <c r="C9" s="25" t="n">
        <v>1.2</v>
      </c>
      <c r="D9" s="26" t="n">
        <f aca="false">B9-C9</f>
        <v>3.3</v>
      </c>
      <c r="E9" s="27" t="n">
        <f aca="false">D9/B9</f>
        <v>0.733333333333333</v>
      </c>
    </row>
    <row r="10" customFormat="false" ht="15" hidden="false" customHeight="true" outlineLevel="0" collapsed="false">
      <c r="A10" s="1" t="s">
        <v>144</v>
      </c>
      <c r="B10" s="25" t="n">
        <v>4.25</v>
      </c>
      <c r="C10" s="25" t="n">
        <v>1.1</v>
      </c>
      <c r="D10" s="26" t="n">
        <f aca="false">B10-C10</f>
        <v>3.15</v>
      </c>
      <c r="E10" s="27" t="n">
        <f aca="false">D10/B10</f>
        <v>0.741176470588235</v>
      </c>
    </row>
    <row r="11" customFormat="false" ht="15" hidden="false" customHeight="true" outlineLevel="0" collapsed="false">
      <c r="A11" s="1" t="s">
        <v>145</v>
      </c>
      <c r="B11" s="25" t="n">
        <v>5</v>
      </c>
      <c r="C11" s="25" t="n">
        <v>1.4</v>
      </c>
      <c r="D11" s="26" t="n">
        <f aca="false">B11-C11</f>
        <v>3.6</v>
      </c>
      <c r="E11" s="27" t="n">
        <f aca="false">D11/B11</f>
        <v>0.72</v>
      </c>
    </row>
    <row r="13" customFormat="false" ht="15" hidden="false" customHeight="true" outlineLevel="0" collapsed="false">
      <c r="A13" s="10" t="s">
        <v>146</v>
      </c>
    </row>
    <row r="14" customFormat="false" ht="15" hidden="false" customHeight="true" outlineLevel="0" collapsed="false">
      <c r="A14" s="1" t="s">
        <v>147</v>
      </c>
      <c r="B14" s="25" t="n">
        <v>2.75</v>
      </c>
      <c r="C14" s="25" t="n">
        <v>0.35</v>
      </c>
      <c r="D14" s="26" t="n">
        <f aca="false">B14-C14</f>
        <v>2.4</v>
      </c>
      <c r="E14" s="27" t="n">
        <f aca="false">D14/B14</f>
        <v>0.872727272727273</v>
      </c>
    </row>
    <row r="15" customFormat="false" ht="15" hidden="false" customHeight="true" outlineLevel="0" collapsed="false">
      <c r="A15" s="1" t="s">
        <v>148</v>
      </c>
      <c r="B15" s="25" t="n">
        <v>3.25</v>
      </c>
      <c r="C15" s="25" t="n">
        <v>0.42</v>
      </c>
      <c r="D15" s="26" t="n">
        <f aca="false">B15-C15</f>
        <v>2.83</v>
      </c>
      <c r="E15" s="27" t="n">
        <f aca="false">D15/B15</f>
        <v>0.870769230769231</v>
      </c>
    </row>
    <row r="16" customFormat="false" ht="15" hidden="false" customHeight="true" outlineLevel="0" collapsed="false">
      <c r="A16" s="1" t="s">
        <v>149</v>
      </c>
      <c r="B16" s="25" t="n">
        <v>3.5</v>
      </c>
      <c r="C16" s="25" t="n">
        <v>0.5</v>
      </c>
      <c r="D16" s="26" t="n">
        <f aca="false">B16-C16</f>
        <v>3</v>
      </c>
      <c r="E16" s="27" t="n">
        <f aca="false">D16/B16</f>
        <v>0.857142857142857</v>
      </c>
    </row>
    <row r="18" customFormat="false" ht="15" hidden="false" customHeight="true" outlineLevel="0" collapsed="false">
      <c r="A18" s="10" t="s">
        <v>150</v>
      </c>
    </row>
    <row r="19" customFormat="false" ht="15" hidden="false" customHeight="true" outlineLevel="0" collapsed="false">
      <c r="A19" s="1" t="s">
        <v>151</v>
      </c>
      <c r="B19" s="25" t="n">
        <v>4.5</v>
      </c>
      <c r="C19" s="25" t="n">
        <v>1.5</v>
      </c>
      <c r="D19" s="26" t="n">
        <f aca="false">B19-C19</f>
        <v>3</v>
      </c>
      <c r="E19" s="27" t="n">
        <f aca="false">D19/B19</f>
        <v>0.666666666666667</v>
      </c>
    </row>
    <row r="20" customFormat="false" ht="15" hidden="false" customHeight="true" outlineLevel="0" collapsed="false">
      <c r="A20" s="1" t="s">
        <v>152</v>
      </c>
      <c r="B20" s="25" t="n">
        <v>3.75</v>
      </c>
      <c r="C20" s="25" t="n">
        <v>1.25</v>
      </c>
      <c r="D20" s="26" t="n">
        <f aca="false">B20-C20</f>
        <v>2.5</v>
      </c>
      <c r="E20" s="27" t="n">
        <f aca="false">D20/B20</f>
        <v>0.666666666666667</v>
      </c>
    </row>
    <row r="21" customFormat="false" ht="15" hidden="false" customHeight="true" outlineLevel="0" collapsed="false">
      <c r="A21" s="1" t="s">
        <v>153</v>
      </c>
      <c r="B21" s="25" t="n">
        <v>8.5</v>
      </c>
      <c r="C21" s="25" t="n">
        <v>3</v>
      </c>
      <c r="D21" s="26" t="n">
        <f aca="false">B21-C21</f>
        <v>5.5</v>
      </c>
      <c r="E21" s="27" t="n">
        <f aca="false">D21/B21</f>
        <v>0.647058823529412</v>
      </c>
    </row>
    <row r="22" customFormat="false" ht="15" hidden="false" customHeight="true" outlineLevel="0" collapsed="false">
      <c r="A22" s="1" t="s">
        <v>154</v>
      </c>
      <c r="B22" s="25" t="n">
        <v>7.5</v>
      </c>
      <c r="C22" s="25" t="n">
        <v>2.5</v>
      </c>
      <c r="D22" s="26" t="n">
        <f aca="false">B22-C22</f>
        <v>5</v>
      </c>
      <c r="E22" s="27" t="n">
        <f aca="false">D22/B22</f>
        <v>0.666666666666667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8" t="s">
        <v>155</v>
      </c>
      <c r="B2" s="8"/>
      <c r="C2" s="8"/>
    </row>
    <row r="4" customFormat="false" ht="15" hidden="false" customHeight="true" outlineLevel="0" collapsed="false">
      <c r="A4" s="9" t="s">
        <v>156</v>
      </c>
    </row>
    <row r="5" customFormat="false" ht="15" hidden="false" customHeight="true" outlineLevel="0" collapsed="false">
      <c r="A5" s="1" t="s">
        <v>157</v>
      </c>
      <c r="B5" s="11" t="n">
        <f aca="false">Assumptions!B20+Assumptions!B21+(Assumptions!B22*(1+Assumptions!B23))+Assumptions!B24+Assumptions!B25+Assumptions!B26+Assumptions!B27+Assumptions!B28+Assumptions!B29</f>
        <v>21095</v>
      </c>
      <c r="C5" s="1" t="s">
        <v>158</v>
      </c>
    </row>
    <row r="6" customFormat="false" ht="15" hidden="false" customHeight="true" outlineLevel="0" collapsed="false">
      <c r="A6" s="1" t="s">
        <v>159</v>
      </c>
      <c r="B6" s="27" t="n">
        <f aca="false">Assumptions!B14+Assumptions!B15+Assumptions!B16+Assumptions!B17</f>
        <v>0.43</v>
      </c>
      <c r="C6" s="1" t="s">
        <v>160</v>
      </c>
    </row>
    <row r="7" customFormat="false" ht="15" hidden="false" customHeight="true" outlineLevel="0" collapsed="false">
      <c r="A7" s="1" t="s">
        <v>161</v>
      </c>
      <c r="B7" s="27" t="n">
        <f aca="false">1-B6</f>
        <v>0.57</v>
      </c>
      <c r="C7" s="1" t="s">
        <v>162</v>
      </c>
    </row>
    <row r="8" customFormat="false" ht="15" hidden="false" customHeight="true" outlineLevel="0" collapsed="false">
      <c r="A8" s="1" t="s">
        <v>10</v>
      </c>
      <c r="B8" s="26" t="n">
        <f aca="false">Assumptions!B10</f>
        <v>7.5</v>
      </c>
      <c r="C8" s="1" t="s">
        <v>163</v>
      </c>
    </row>
    <row r="10" customFormat="false" ht="15" hidden="false" customHeight="true" outlineLevel="0" collapsed="false">
      <c r="A10" s="9" t="s">
        <v>164</v>
      </c>
    </row>
    <row r="11" customFormat="false" ht="15" hidden="false" customHeight="true" outlineLevel="0" collapsed="false">
      <c r="A11" s="1" t="s">
        <v>165</v>
      </c>
      <c r="B11" s="11" t="n">
        <f aca="false">B5/B7</f>
        <v>37008.7719298246</v>
      </c>
      <c r="C11" s="1" t="s">
        <v>166</v>
      </c>
    </row>
    <row r="12" customFormat="false" ht="15" hidden="false" customHeight="true" outlineLevel="0" collapsed="false">
      <c r="A12" s="1" t="s">
        <v>167</v>
      </c>
      <c r="B12" s="24" t="n">
        <f aca="false">(B5/B7)/(B8*Assumptions!B11)</f>
        <v>224.295587453482</v>
      </c>
      <c r="C12" s="1" t="s">
        <v>168</v>
      </c>
    </row>
    <row r="13" customFormat="false" ht="15" hidden="false" customHeight="true" outlineLevel="0" collapsed="false">
      <c r="A13" s="1" t="s">
        <v>169</v>
      </c>
      <c r="B13" s="24" t="str">
        <f aca="false">IFERROR(MATCH(TRUE(), 'Monthly P&amp;L'!B35:M35&gt;0, 0), "Not yet")</f>
        <v>Not yet</v>
      </c>
      <c r="C13" s="1" t="s">
        <v>170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5" min="2" style="1" width="10"/>
  </cols>
  <sheetData>
    <row r="1" customFormat="false" ht="17.25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customFormat="false" ht="15" hidden="false" customHeight="true" outlineLevel="0" collapsed="false">
      <c r="A2" s="8" t="s">
        <v>171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customFormat="false" ht="15" hidden="false" customHeight="true" outlineLevel="0" collapsed="false">
      <c r="A3" s="15" t="s">
        <v>83</v>
      </c>
      <c r="B3" s="16" t="s">
        <v>84</v>
      </c>
      <c r="C3" s="16" t="s">
        <v>85</v>
      </c>
      <c r="D3" s="16" t="s">
        <v>86</v>
      </c>
      <c r="E3" s="16" t="s">
        <v>87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95</v>
      </c>
      <c r="N3" s="16" t="s">
        <v>96</v>
      </c>
      <c r="O3" s="16" t="s">
        <v>97</v>
      </c>
      <c r="P3" s="16" t="s">
        <v>98</v>
      </c>
      <c r="Q3" s="16" t="s">
        <v>99</v>
      </c>
      <c r="R3" s="16" t="s">
        <v>100</v>
      </c>
      <c r="S3" s="16" t="s">
        <v>101</v>
      </c>
      <c r="T3" s="16" t="s">
        <v>102</v>
      </c>
      <c r="U3" s="16" t="s">
        <v>103</v>
      </c>
      <c r="V3" s="16" t="s">
        <v>104</v>
      </c>
      <c r="W3" s="16" t="s">
        <v>105</v>
      </c>
      <c r="X3" s="16" t="s">
        <v>106</v>
      </c>
      <c r="Y3" s="16" t="s">
        <v>107</v>
      </c>
    </row>
    <row r="4" customFormat="false" ht="15" hidden="false" customHeight="true" outlineLevel="0" collapsed="false">
      <c r="A4" s="1" t="s">
        <v>172</v>
      </c>
      <c r="B4" s="20" t="n">
        <f aca="false">'Startup Costs'!B47</f>
        <v>25000</v>
      </c>
      <c r="C4" s="20" t="n">
        <f aca="false">B14</f>
        <v>20405</v>
      </c>
      <c r="D4" s="20" t="n">
        <f aca="false">C14</f>
        <v>37812.5</v>
      </c>
      <c r="E4" s="20" t="n">
        <f aca="false">D14</f>
        <v>56177.4125</v>
      </c>
      <c r="F4" s="20" t="n">
        <f aca="false">E14</f>
        <v>75552.3951875</v>
      </c>
      <c r="G4" s="20" t="n">
        <f aca="false">F14</f>
        <v>95993.0019228125</v>
      </c>
      <c r="H4" s="20" t="n">
        <f aca="false">G14</f>
        <v>117557.842028567</v>
      </c>
      <c r="I4" s="20" t="n">
        <f aca="false">H14</f>
        <v>140308.748340138</v>
      </c>
      <c r="J4" s="20" t="n">
        <f aca="false">I14</f>
        <v>164310.954498846</v>
      </c>
      <c r="K4" s="20" t="n">
        <f aca="false">J14</f>
        <v>189633.281996283</v>
      </c>
      <c r="L4" s="20" t="n">
        <f aca="false">K14</f>
        <v>216348.337506078</v>
      </c>
      <c r="M4" s="20" t="n">
        <f aca="false">L14</f>
        <v>244532.721068912</v>
      </c>
      <c r="N4" s="20" t="n">
        <f aca="false">M14</f>
        <v>274267.245727702</v>
      </c>
      <c r="O4" s="20" t="n">
        <f aca="false">N14</f>
        <v>305637.169242726</v>
      </c>
      <c r="P4" s="20" t="n">
        <f aca="false">O14</f>
        <v>338732.438551076</v>
      </c>
      <c r="Q4" s="20" t="n">
        <f aca="false">P14</f>
        <v>373647.947671385</v>
      </c>
      <c r="R4" s="20" t="n">
        <f aca="false">Q14</f>
        <v>409947.947671385</v>
      </c>
      <c r="S4" s="20" t="n">
        <f aca="false">R14</f>
        <v>446247.947671385</v>
      </c>
      <c r="T4" s="20" t="n">
        <f aca="false">S14</f>
        <v>482547.947671385</v>
      </c>
      <c r="U4" s="20" t="n">
        <f aca="false">T14</f>
        <v>518847.947671385</v>
      </c>
      <c r="V4" s="20" t="n">
        <f aca="false">U14</f>
        <v>555147.947671385</v>
      </c>
      <c r="W4" s="20" t="n">
        <f aca="false">V14</f>
        <v>591447.947671385</v>
      </c>
      <c r="X4" s="20" t="n">
        <f aca="false">W14</f>
        <v>627747.947671385</v>
      </c>
      <c r="Y4" s="20" t="n">
        <f aca="false">X14</f>
        <v>664047.947671385</v>
      </c>
    </row>
    <row r="6" customFormat="false" ht="15" hidden="false" customHeight="true" outlineLevel="0" collapsed="false">
      <c r="A6" s="19" t="s">
        <v>173</v>
      </c>
    </row>
    <row r="7" customFormat="false" ht="15" hidden="false" customHeight="true" outlineLevel="0" collapsed="false">
      <c r="A7" s="1" t="s">
        <v>174</v>
      </c>
      <c r="B7" s="20" t="n">
        <f aca="false">'Monthly P&amp;L'!B9</f>
        <v>16500</v>
      </c>
      <c r="C7" s="20" t="n">
        <f aca="false">'Monthly P&amp;L'!C9</f>
        <v>17407.5</v>
      </c>
      <c r="D7" s="20" t="n">
        <f aca="false">'Monthly P&amp;L'!D9</f>
        <v>18364.9125</v>
      </c>
      <c r="E7" s="20" t="n">
        <f aca="false">'Monthly P&amp;L'!E9</f>
        <v>19374.9826875</v>
      </c>
      <c r="F7" s="20" t="n">
        <f aca="false">'Monthly P&amp;L'!F9</f>
        <v>20440.6067353125</v>
      </c>
      <c r="G7" s="20" t="n">
        <f aca="false">'Monthly P&amp;L'!G9</f>
        <v>21564.8401057547</v>
      </c>
      <c r="H7" s="20" t="n">
        <f aca="false">'Monthly P&amp;L'!H9</f>
        <v>22750.9063115712</v>
      </c>
      <c r="I7" s="20" t="n">
        <f aca="false">'Monthly P&amp;L'!I9</f>
        <v>24002.2061587076</v>
      </c>
      <c r="J7" s="20" t="n">
        <f aca="false">'Monthly P&amp;L'!J9</f>
        <v>25322.3274974365</v>
      </c>
      <c r="K7" s="20" t="n">
        <f aca="false">'Monthly P&amp;L'!K9</f>
        <v>26715.0555097955</v>
      </c>
      <c r="L7" s="20" t="n">
        <f aca="false">'Monthly P&amp;L'!L9</f>
        <v>28184.3835628343</v>
      </c>
      <c r="M7" s="20" t="n">
        <f aca="false">'Monthly P&amp;L'!M9</f>
        <v>29734.5246587902</v>
      </c>
      <c r="N7" s="20" t="n">
        <f aca="false">'Monthly P&amp;L'!N9</f>
        <v>31369.9235150236</v>
      </c>
      <c r="O7" s="20" t="n">
        <f aca="false">'Monthly P&amp;L'!O9</f>
        <v>33095.2693083499</v>
      </c>
      <c r="P7" s="20" t="n">
        <f aca="false">'Monthly P&amp;L'!P9</f>
        <v>34915.5091203092</v>
      </c>
      <c r="Q7" s="20" t="n">
        <f aca="false">'Monthly P&amp;L'!Q9</f>
        <v>36300</v>
      </c>
      <c r="R7" s="20" t="n">
        <f aca="false">'Monthly P&amp;L'!R9</f>
        <v>36300</v>
      </c>
      <c r="S7" s="20" t="n">
        <f aca="false">'Monthly P&amp;L'!S9</f>
        <v>36300</v>
      </c>
      <c r="T7" s="20" t="n">
        <f aca="false">'Monthly P&amp;L'!T9</f>
        <v>36300</v>
      </c>
      <c r="U7" s="20" t="n">
        <f aca="false">'Monthly P&amp;L'!U9</f>
        <v>36300</v>
      </c>
      <c r="V7" s="20" t="n">
        <f aca="false">'Monthly P&amp;L'!V9</f>
        <v>36300</v>
      </c>
      <c r="W7" s="20" t="n">
        <f aca="false">'Monthly P&amp;L'!W9</f>
        <v>36300</v>
      </c>
      <c r="X7" s="20" t="n">
        <f aca="false">'Monthly P&amp;L'!X9</f>
        <v>36300</v>
      </c>
      <c r="Y7" s="20" t="n">
        <f aca="false">'Monthly P&amp;L'!Y9</f>
        <v>36300</v>
      </c>
    </row>
    <row r="9" customFormat="false" ht="15" hidden="false" customHeight="true" outlineLevel="0" collapsed="false">
      <c r="A9" s="21" t="s">
        <v>175</v>
      </c>
    </row>
    <row r="10" customFormat="false" ht="15" hidden="false" customHeight="true" outlineLevel="0" collapsed="false">
      <c r="A10" s="1" t="s">
        <v>176</v>
      </c>
      <c r="B10" s="20" t="n">
        <f aca="false">'Monthly P&amp;L'!B30</f>
        <v>21095</v>
      </c>
      <c r="C10" s="20" t="n">
        <f aca="false">'Monthly P&amp;L'!C33</f>
        <v>0</v>
      </c>
      <c r="D10" s="20" t="n">
        <f aca="false">'Monthly P&amp;L'!D33</f>
        <v>0</v>
      </c>
      <c r="E10" s="20" t="n">
        <f aca="false">'Monthly P&amp;L'!E33</f>
        <v>0</v>
      </c>
      <c r="F10" s="20" t="n">
        <f aca="false">'Monthly P&amp;L'!F33</f>
        <v>0</v>
      </c>
      <c r="G10" s="20" t="n">
        <f aca="false">'Monthly P&amp;L'!G33</f>
        <v>0</v>
      </c>
      <c r="H10" s="20" t="n">
        <f aca="false">'Monthly P&amp;L'!H33</f>
        <v>0</v>
      </c>
      <c r="I10" s="20" t="n">
        <f aca="false">'Monthly P&amp;L'!I33</f>
        <v>0</v>
      </c>
      <c r="J10" s="20" t="n">
        <f aca="false">'Monthly P&amp;L'!J33</f>
        <v>0</v>
      </c>
      <c r="K10" s="20" t="n">
        <f aca="false">'Monthly P&amp;L'!K33</f>
        <v>0</v>
      </c>
      <c r="L10" s="20" t="n">
        <f aca="false">'Monthly P&amp;L'!L33</f>
        <v>0</v>
      </c>
      <c r="M10" s="20" t="n">
        <f aca="false">'Monthly P&amp;L'!M33</f>
        <v>0</v>
      </c>
      <c r="N10" s="20" t="n">
        <f aca="false">'Monthly P&amp;L'!N33</f>
        <v>0</v>
      </c>
      <c r="O10" s="20" t="n">
        <f aca="false">'Monthly P&amp;L'!O33</f>
        <v>0</v>
      </c>
      <c r="P10" s="20" t="n">
        <f aca="false">'Monthly P&amp;L'!P33</f>
        <v>0</v>
      </c>
      <c r="Q10" s="20" t="n">
        <f aca="false">'Monthly P&amp;L'!Q33</f>
        <v>0</v>
      </c>
      <c r="R10" s="20" t="n">
        <f aca="false">'Monthly P&amp;L'!R33</f>
        <v>0</v>
      </c>
      <c r="S10" s="20" t="n">
        <f aca="false">'Monthly P&amp;L'!S33</f>
        <v>0</v>
      </c>
      <c r="T10" s="20" t="n">
        <f aca="false">'Monthly P&amp;L'!T33</f>
        <v>0</v>
      </c>
      <c r="U10" s="20" t="n">
        <f aca="false">'Monthly P&amp;L'!U33</f>
        <v>0</v>
      </c>
      <c r="V10" s="20" t="n">
        <f aca="false">'Monthly P&amp;L'!V33</f>
        <v>0</v>
      </c>
      <c r="W10" s="20" t="n">
        <f aca="false">'Monthly P&amp;L'!W33</f>
        <v>0</v>
      </c>
      <c r="X10" s="20" t="n">
        <f aca="false">'Monthly P&amp;L'!X33</f>
        <v>0</v>
      </c>
      <c r="Y10" s="20" t="n">
        <f aca="false">'Monthly P&amp;L'!Y33</f>
        <v>0</v>
      </c>
    </row>
    <row r="11" customFormat="false" ht="15" hidden="false" customHeight="true" outlineLevel="0" collapsed="false">
      <c r="A11" s="1" t="s">
        <v>177</v>
      </c>
      <c r="B11" s="20" t="n">
        <f aca="false">'Monthly P&amp;L'!B33</f>
        <v>0</v>
      </c>
      <c r="C11" s="20" t="n">
        <f aca="false">'Monthly P&amp;L'!C34</f>
        <v>0</v>
      </c>
      <c r="D11" s="20" t="n">
        <f aca="false">'Monthly P&amp;L'!D34</f>
        <v>0</v>
      </c>
      <c r="E11" s="20" t="n">
        <f aca="false">'Monthly P&amp;L'!E34</f>
        <v>0</v>
      </c>
      <c r="F11" s="20" t="n">
        <f aca="false">'Monthly P&amp;L'!F34</f>
        <v>0</v>
      </c>
      <c r="G11" s="20" t="n">
        <f aca="false">'Monthly P&amp;L'!G34</f>
        <v>0</v>
      </c>
      <c r="H11" s="20" t="n">
        <f aca="false">'Monthly P&amp;L'!H34</f>
        <v>0</v>
      </c>
      <c r="I11" s="20" t="n">
        <f aca="false">'Monthly P&amp;L'!I34</f>
        <v>0</v>
      </c>
      <c r="J11" s="20" t="n">
        <f aca="false">'Monthly P&amp;L'!J34</f>
        <v>0</v>
      </c>
      <c r="K11" s="20" t="n">
        <f aca="false">'Monthly P&amp;L'!K34</f>
        <v>0</v>
      </c>
      <c r="L11" s="20" t="n">
        <f aca="false">'Monthly P&amp;L'!L34</f>
        <v>0</v>
      </c>
      <c r="M11" s="20" t="n">
        <f aca="false">'Monthly P&amp;L'!M34</f>
        <v>0</v>
      </c>
      <c r="N11" s="20" t="n">
        <f aca="false">'Monthly P&amp;L'!N34</f>
        <v>0</v>
      </c>
      <c r="O11" s="20" t="n">
        <f aca="false">'Monthly P&amp;L'!O34</f>
        <v>0</v>
      </c>
      <c r="P11" s="20" t="n">
        <f aca="false">'Monthly P&amp;L'!P34</f>
        <v>0</v>
      </c>
      <c r="Q11" s="20" t="n">
        <f aca="false">'Monthly P&amp;L'!Q34</f>
        <v>0</v>
      </c>
      <c r="R11" s="20" t="n">
        <f aca="false">'Monthly P&amp;L'!R34</f>
        <v>0</v>
      </c>
      <c r="S11" s="20" t="n">
        <f aca="false">'Monthly P&amp;L'!S34</f>
        <v>0</v>
      </c>
      <c r="T11" s="20" t="n">
        <f aca="false">'Monthly P&amp;L'!T34</f>
        <v>0</v>
      </c>
      <c r="U11" s="20" t="n">
        <f aca="false">'Monthly P&amp;L'!U34</f>
        <v>0</v>
      </c>
      <c r="V11" s="20" t="n">
        <f aca="false">'Monthly P&amp;L'!V34</f>
        <v>0</v>
      </c>
      <c r="W11" s="20" t="n">
        <f aca="false">'Monthly P&amp;L'!W34</f>
        <v>0</v>
      </c>
      <c r="X11" s="20" t="n">
        <f aca="false">'Monthly P&amp;L'!X34</f>
        <v>0</v>
      </c>
      <c r="Y11" s="20" t="n">
        <f aca="false">'Monthly P&amp;L'!Y34</f>
        <v>0</v>
      </c>
    </row>
    <row r="13" customFormat="false" ht="15" hidden="false" customHeight="true" outlineLevel="0" collapsed="false">
      <c r="A13" s="1" t="s">
        <v>178</v>
      </c>
      <c r="B13" s="20" t="n">
        <f aca="false">B7-B10-B11</f>
        <v>-4595</v>
      </c>
      <c r="C13" s="20" t="n">
        <f aca="false">C7-C10-C11</f>
        <v>17407.5</v>
      </c>
      <c r="D13" s="20" t="n">
        <f aca="false">D7-D10-D11</f>
        <v>18364.9125</v>
      </c>
      <c r="E13" s="20" t="n">
        <f aca="false">E7-E10-E11</f>
        <v>19374.9826875</v>
      </c>
      <c r="F13" s="20" t="n">
        <f aca="false">F7-F10-F11</f>
        <v>20440.6067353125</v>
      </c>
      <c r="G13" s="20" t="n">
        <f aca="false">G7-G10-G11</f>
        <v>21564.8401057547</v>
      </c>
      <c r="H13" s="20" t="n">
        <f aca="false">H7-H10-H11</f>
        <v>22750.9063115712</v>
      </c>
      <c r="I13" s="20" t="n">
        <f aca="false">I7-I10-I11</f>
        <v>24002.2061587076</v>
      </c>
      <c r="J13" s="20" t="n">
        <f aca="false">J7-J10-J11</f>
        <v>25322.3274974365</v>
      </c>
      <c r="K13" s="20" t="n">
        <f aca="false">K7-K10-K11</f>
        <v>26715.0555097955</v>
      </c>
      <c r="L13" s="20" t="n">
        <f aca="false">L7-L10-L11</f>
        <v>28184.3835628343</v>
      </c>
      <c r="M13" s="20" t="n">
        <f aca="false">M7-M10-M11</f>
        <v>29734.5246587902</v>
      </c>
      <c r="N13" s="20" t="n">
        <f aca="false">N7-N10-N11</f>
        <v>31369.9235150236</v>
      </c>
      <c r="O13" s="20" t="n">
        <f aca="false">O7-O10-O11</f>
        <v>33095.2693083499</v>
      </c>
      <c r="P13" s="20" t="n">
        <f aca="false">P7-P10-P11</f>
        <v>34915.5091203092</v>
      </c>
      <c r="Q13" s="20" t="n">
        <f aca="false">Q7-Q10-Q11</f>
        <v>36300</v>
      </c>
      <c r="R13" s="20" t="n">
        <f aca="false">R7-R10-R11</f>
        <v>36300</v>
      </c>
      <c r="S13" s="20" t="n">
        <f aca="false">S7-S10-S11</f>
        <v>36300</v>
      </c>
      <c r="T13" s="20" t="n">
        <f aca="false">T7-T10-T11</f>
        <v>36300</v>
      </c>
      <c r="U13" s="20" t="n">
        <f aca="false">U7-U10-U11</f>
        <v>36300</v>
      </c>
      <c r="V13" s="20" t="n">
        <f aca="false">V7-V10-V11</f>
        <v>36300</v>
      </c>
      <c r="W13" s="20" t="n">
        <f aca="false">W7-W10-W11</f>
        <v>36300</v>
      </c>
      <c r="X13" s="20" t="n">
        <f aca="false">X7-X10-X11</f>
        <v>36300</v>
      </c>
      <c r="Y13" s="20" t="n">
        <f aca="false">Y7-Y10-Y11</f>
        <v>36300</v>
      </c>
    </row>
    <row r="14" customFormat="false" ht="15" hidden="false" customHeight="true" outlineLevel="0" collapsed="false">
      <c r="A14" s="1" t="s">
        <v>179</v>
      </c>
      <c r="B14" s="20" t="n">
        <f aca="false">B4+B13</f>
        <v>20405</v>
      </c>
      <c r="C14" s="20" t="n">
        <f aca="false">C4+C13</f>
        <v>37812.5</v>
      </c>
      <c r="D14" s="20" t="n">
        <f aca="false">D4+D13</f>
        <v>56177.4125</v>
      </c>
      <c r="E14" s="20" t="n">
        <f aca="false">E4+E13</f>
        <v>75552.3951875</v>
      </c>
      <c r="F14" s="20" t="n">
        <f aca="false">F4+F13</f>
        <v>95993.0019228125</v>
      </c>
      <c r="G14" s="20" t="n">
        <f aca="false">G4+G13</f>
        <v>117557.842028567</v>
      </c>
      <c r="H14" s="20" t="n">
        <f aca="false">H4+H13</f>
        <v>140308.748340138</v>
      </c>
      <c r="I14" s="20" t="n">
        <f aca="false">I4+I13</f>
        <v>164310.954498846</v>
      </c>
      <c r="J14" s="20" t="n">
        <f aca="false">J4+J13</f>
        <v>189633.281996283</v>
      </c>
      <c r="K14" s="20" t="n">
        <f aca="false">K4+K13</f>
        <v>216348.337506078</v>
      </c>
      <c r="L14" s="20" t="n">
        <f aca="false">L4+L13</f>
        <v>244532.721068912</v>
      </c>
      <c r="M14" s="20" t="n">
        <f aca="false">M4+M13</f>
        <v>274267.245727702</v>
      </c>
      <c r="N14" s="20" t="n">
        <f aca="false">N4+N13</f>
        <v>305637.169242726</v>
      </c>
      <c r="O14" s="20" t="n">
        <f aca="false">O4+O13</f>
        <v>338732.438551076</v>
      </c>
      <c r="P14" s="20" t="n">
        <f aca="false">P4+P13</f>
        <v>373647.947671385</v>
      </c>
      <c r="Q14" s="20" t="n">
        <f aca="false">Q4+Q13</f>
        <v>409947.947671385</v>
      </c>
      <c r="R14" s="20" t="n">
        <f aca="false">R4+R13</f>
        <v>446247.947671385</v>
      </c>
      <c r="S14" s="20" t="n">
        <f aca="false">S4+S13</f>
        <v>482547.947671385</v>
      </c>
      <c r="T14" s="20" t="n">
        <f aca="false">T4+T13</f>
        <v>518847.947671385</v>
      </c>
      <c r="U14" s="20" t="n">
        <f aca="false">U4+U13</f>
        <v>555147.947671385</v>
      </c>
      <c r="V14" s="20" t="n">
        <f aca="false">V4+V13</f>
        <v>591447.947671385</v>
      </c>
      <c r="W14" s="20" t="n">
        <f aca="false">W4+W13</f>
        <v>627747.947671385</v>
      </c>
      <c r="X14" s="20" t="n">
        <f aca="false">X4+X13</f>
        <v>664047.947671385</v>
      </c>
      <c r="Y14" s="20" t="n">
        <f aca="false">Y4+Y13</f>
        <v>700347.947671385</v>
      </c>
    </row>
    <row r="16" customFormat="false" ht="15" hidden="false" customHeight="true" outlineLevel="0" collapsed="false">
      <c r="A16" s="1" t="s">
        <v>180</v>
      </c>
      <c r="B16" s="1" t="str">
        <f aca="false">IF(B14&lt;0, "⚠", "")</f>
        <v/>
      </c>
      <c r="C16" s="1" t="str">
        <f aca="false">IF(C14&lt;0, "⚠", "")</f>
        <v/>
      </c>
      <c r="D16" s="1" t="str">
        <f aca="false">IF(D14&lt;0, "⚠", "")</f>
        <v/>
      </c>
      <c r="E16" s="1" t="str">
        <f aca="false">IF(E14&lt;0, "⚠", "")</f>
        <v/>
      </c>
      <c r="F16" s="1" t="str">
        <f aca="false">IF(F14&lt;0, "⚠", "")</f>
        <v/>
      </c>
      <c r="G16" s="1" t="str">
        <f aca="false">IF(G14&lt;0, "⚠", "")</f>
        <v/>
      </c>
      <c r="H16" s="1" t="str">
        <f aca="false">IF(H14&lt;0, "⚠", "")</f>
        <v/>
      </c>
      <c r="I16" s="1" t="str">
        <f aca="false">IF(I14&lt;0, "⚠", "")</f>
        <v/>
      </c>
      <c r="J16" s="1" t="str">
        <f aca="false">IF(J14&lt;0, "⚠", "")</f>
        <v/>
      </c>
      <c r="K16" s="1" t="str">
        <f aca="false">IF(K14&lt;0, "⚠", "")</f>
        <v/>
      </c>
      <c r="L16" s="1" t="str">
        <f aca="false">IF(L14&lt;0, "⚠", "")</f>
        <v/>
      </c>
      <c r="M16" s="1" t="str">
        <f aca="false">IF(M14&lt;0, "⚠", "")</f>
        <v/>
      </c>
      <c r="N16" s="1" t="str">
        <f aca="false">IF(N14&lt;0, "⚠", "")</f>
        <v/>
      </c>
      <c r="O16" s="1" t="str">
        <f aca="false">IF(O14&lt;0, "⚠", "")</f>
        <v/>
      </c>
      <c r="P16" s="1" t="str">
        <f aca="false">IF(P14&lt;0, "⚠", "")</f>
        <v/>
      </c>
      <c r="Q16" s="1" t="str">
        <f aca="false">IF(Q14&lt;0, "⚠", "")</f>
        <v/>
      </c>
      <c r="R16" s="1" t="str">
        <f aca="false">IF(R14&lt;0, "⚠", "")</f>
        <v/>
      </c>
      <c r="S16" s="1" t="str">
        <f aca="false">IF(S14&lt;0, "⚠", "")</f>
        <v/>
      </c>
      <c r="T16" s="1" t="str">
        <f aca="false">IF(T14&lt;0, "⚠", "")</f>
        <v/>
      </c>
      <c r="U16" s="1" t="str">
        <f aca="false">IF(U14&lt;0, "⚠", "")</f>
        <v/>
      </c>
      <c r="V16" s="1" t="str">
        <f aca="false">IF(V14&lt;0, "⚠", "")</f>
        <v/>
      </c>
      <c r="W16" s="1" t="str">
        <f aca="false">IF(W14&lt;0, "⚠", "")</f>
        <v/>
      </c>
      <c r="X16" s="1" t="str">
        <f aca="false">IF(X14&lt;0, "⚠", "")</f>
        <v/>
      </c>
      <c r="Y16" s="1" t="str">
        <f aca="false">IF(Y14&lt;0, "⚠", "")</f>
        <v/>
      </c>
    </row>
  </sheetData>
  <mergeCells count="2">
    <mergeCell ref="A1:Y1"/>
    <mergeCell ref="A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  <col collapsed="false" customWidth="true" hidden="false" outlineLevel="0" max="5" min="5" style="1" width="25"/>
  </cols>
  <sheetData>
    <row r="1" customFormat="false" ht="17.25" hidden="false" customHeight="true" outlineLevel="0" collapsed="false">
      <c r="A1" s="14" t="s">
        <v>0</v>
      </c>
      <c r="B1" s="14"/>
      <c r="C1" s="14"/>
      <c r="D1" s="14"/>
      <c r="E1" s="14"/>
    </row>
    <row r="2" customFormat="false" ht="15" hidden="false" customHeight="true" outlineLevel="0" collapsed="false">
      <c r="A2" s="8" t="s">
        <v>181</v>
      </c>
      <c r="B2" s="8"/>
      <c r="C2" s="8"/>
      <c r="D2" s="8"/>
      <c r="E2" s="8"/>
    </row>
    <row r="4" customFormat="false" ht="15" hidden="false" customHeight="true" outlineLevel="0" collapsed="false">
      <c r="A4" s="9" t="s">
        <v>182</v>
      </c>
    </row>
    <row r="5" customFormat="false" ht="15" hidden="false" customHeight="true" outlineLevel="0" collapsed="false">
      <c r="A5" s="9" t="s">
        <v>183</v>
      </c>
      <c r="B5" s="9" t="s">
        <v>184</v>
      </c>
      <c r="C5" s="9" t="s">
        <v>185</v>
      </c>
      <c r="D5" s="9" t="s">
        <v>186</v>
      </c>
    </row>
    <row r="6" customFormat="false" ht="15" hidden="false" customHeight="true" outlineLevel="0" collapsed="false">
      <c r="A6" s="1" t="s">
        <v>187</v>
      </c>
      <c r="B6" s="28" t="n">
        <v>0.035</v>
      </c>
      <c r="C6" s="28" t="n">
        <v>0.055</v>
      </c>
      <c r="D6" s="28" t="n">
        <v>0.08</v>
      </c>
    </row>
    <row r="7" customFormat="false" ht="15" hidden="false" customHeight="true" outlineLevel="0" collapsed="false">
      <c r="A7" s="1" t="s">
        <v>188</v>
      </c>
      <c r="B7" s="29" t="n">
        <v>0.7</v>
      </c>
      <c r="C7" s="29" t="n">
        <v>1</v>
      </c>
      <c r="D7" s="29" t="n">
        <v>1.3</v>
      </c>
    </row>
    <row r="8" customFormat="false" ht="15" hidden="false" customHeight="true" outlineLevel="0" collapsed="false">
      <c r="A8" s="1" t="s">
        <v>189</v>
      </c>
      <c r="B8" s="28" t="n">
        <v>0.5</v>
      </c>
      <c r="C8" s="28" t="n">
        <v>0.43</v>
      </c>
      <c r="D8" s="28" t="n">
        <v>0.4</v>
      </c>
    </row>
    <row r="9" customFormat="false" ht="15" hidden="false" customHeight="true" outlineLevel="0" collapsed="false">
      <c r="A9" s="1" t="s">
        <v>190</v>
      </c>
      <c r="B9" s="29" t="n">
        <v>1.1</v>
      </c>
      <c r="C9" s="29" t="n">
        <v>1</v>
      </c>
      <c r="D9" s="29" t="n">
        <v>0.95</v>
      </c>
    </row>
    <row r="10" customFormat="false" ht="15" hidden="false" customHeight="true" outlineLevel="0" collapsed="false">
      <c r="A10" s="1" t="s">
        <v>191</v>
      </c>
      <c r="B10" s="29" t="n">
        <v>70</v>
      </c>
      <c r="C10" s="29" t="n">
        <v>100</v>
      </c>
      <c r="D10" s="29" t="n">
        <v>130</v>
      </c>
    </row>
    <row r="13" customFormat="false" ht="15" hidden="false" customHeight="true" outlineLevel="0" collapsed="false">
      <c r="A13" s="9" t="s">
        <v>192</v>
      </c>
    </row>
    <row r="14" customFormat="false" ht="15" hidden="false" customHeight="true" outlineLevel="0" collapsed="false">
      <c r="A14" s="9" t="s">
        <v>193</v>
      </c>
      <c r="B14" s="9" t="s">
        <v>184</v>
      </c>
      <c r="C14" s="9" t="s">
        <v>185</v>
      </c>
      <c r="D14" s="9" t="s">
        <v>186</v>
      </c>
    </row>
    <row r="15" customFormat="false" ht="15" hidden="false" customHeight="true" outlineLevel="0" collapsed="false">
      <c r="A15" s="1" t="s">
        <v>194</v>
      </c>
      <c r="B15" s="1" t="s">
        <v>195</v>
      </c>
      <c r="C15" s="1" t="s">
        <v>196</v>
      </c>
      <c r="D15" s="1" t="s">
        <v>197</v>
      </c>
    </row>
    <row r="16" customFormat="false" ht="15" hidden="false" customHeight="true" outlineLevel="0" collapsed="false">
      <c r="A16" s="1" t="s">
        <v>198</v>
      </c>
      <c r="B16" s="1" t="s">
        <v>199</v>
      </c>
      <c r="C16" s="1" t="s">
        <v>200</v>
      </c>
      <c r="D16" s="1" t="s">
        <v>201</v>
      </c>
    </row>
    <row r="17" customFormat="false" ht="15" hidden="false" customHeight="true" outlineLevel="0" collapsed="false">
      <c r="A17" s="1" t="s">
        <v>128</v>
      </c>
      <c r="B17" s="1" t="s">
        <v>202</v>
      </c>
      <c r="C17" s="1" t="s">
        <v>203</v>
      </c>
      <c r="D17" s="1" t="s">
        <v>204</v>
      </c>
    </row>
    <row r="18" customFormat="false" ht="15" hidden="false" customHeight="true" outlineLevel="0" collapsed="false">
      <c r="A18" s="1" t="s">
        <v>205</v>
      </c>
      <c r="B18" s="1" t="s">
        <v>206</v>
      </c>
      <c r="C18" s="1" t="s">
        <v>207</v>
      </c>
      <c r="D18" s="1" t="s">
        <v>208</v>
      </c>
    </row>
    <row r="19" customFormat="false" ht="15" hidden="false" customHeight="true" outlineLevel="0" collapsed="false">
      <c r="A19" s="1" t="s">
        <v>209</v>
      </c>
      <c r="B19" s="1" t="s">
        <v>210</v>
      </c>
      <c r="C19" s="1" t="s">
        <v>211</v>
      </c>
      <c r="D19" s="1" t="s">
        <v>212</v>
      </c>
    </row>
    <row r="22" customFormat="false" ht="15" hidden="false" customHeight="true" outlineLevel="0" collapsed="false">
      <c r="A22" s="10" t="s">
        <v>213</v>
      </c>
    </row>
    <row r="23" customFormat="false" ht="15" hidden="false" customHeight="true" outlineLevel="0" collapsed="false">
      <c r="A23" s="30" t="s">
        <v>214</v>
      </c>
    </row>
    <row r="24" customFormat="false" ht="15" hidden="false" customHeight="true" outlineLevel="0" collapsed="false">
      <c r="A24" s="31" t="s">
        <v>215</v>
      </c>
      <c r="B24" s="31"/>
      <c r="C24" s="31"/>
      <c r="D24" s="31"/>
    </row>
    <row r="25" customFormat="false" ht="15" hidden="false" customHeight="true" outlineLevel="0" collapsed="false">
      <c r="A25" s="30" t="s">
        <v>216</v>
      </c>
    </row>
    <row r="26" customFormat="false" ht="15" hidden="false" customHeight="true" outlineLevel="0" collapsed="false">
      <c r="A26" s="31" t="s">
        <v>217</v>
      </c>
      <c r="B26" s="31"/>
      <c r="C26" s="31"/>
      <c r="D26" s="31"/>
    </row>
    <row r="27" customFormat="false" ht="15" hidden="false" customHeight="true" outlineLevel="0" collapsed="false">
      <c r="A27" s="30" t="s">
        <v>218</v>
      </c>
    </row>
    <row r="28" customFormat="false" ht="15" hidden="false" customHeight="true" outlineLevel="0" collapsed="false">
      <c r="A28" s="31" t="s">
        <v>219</v>
      </c>
      <c r="B28" s="31"/>
      <c r="C28" s="31"/>
      <c r="D28" s="31"/>
    </row>
  </sheetData>
  <mergeCells count="5">
    <mergeCell ref="A1:E1"/>
    <mergeCell ref="A2:E2"/>
    <mergeCell ref="A24:D24"/>
    <mergeCell ref="A26:D26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2026-03-14T15:02:12Z</dcterms:created>
  <dc:creator>openpyxl</dc:creator>
  <dc:description/>
  <dc:language>en-US</dc:language>
  <cp:lastModifiedBy/>
  <dcterms:modified xsi:type="dcterms:W3CDTF">2026-03-14T15:24:40Z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